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mercado_acoes" sheetId="2" r:id="rId6"/>
    <sheet state="visible" name="cliente_lucro_prejuizo" sheetId="3" r:id="rId7"/>
    <sheet state="visible" name="cliente_compra_venda" sheetId="4" r:id="rId8"/>
    <sheet state="visible" name="compra_venda" sheetId="5" r:id="rId9"/>
    <sheet state="visible" name="mercado_acoes_compra" sheetId="6" r:id="rId10"/>
    <sheet state="visible" name="mercado_acoes_venda" sheetId="7" r:id="rId11"/>
    <sheet state="visible" name="Estatisticas" sheetId="8" r:id="rId12"/>
    <sheet state="visible" name="Cliente" sheetId="9" r:id="rId13"/>
    <sheet state="visible" name="tendencia_temporal" sheetId="10" r:id="rId14"/>
  </sheets>
  <definedNames>
    <definedName hidden="1" localSheetId="4" name="_xlnm._FilterDatabase">compra_venda!$A$1:$B$2</definedName>
    <definedName hidden="1" localSheetId="5" name="_xlnm._FilterDatabase">mercado_acoes_compra!$A$1:$K$2003</definedName>
    <definedName hidden="1" localSheetId="6" name="_xlnm._FilterDatabase">mercado_acoes_venda!$A$1:$K$2001</definedName>
    <definedName hidden="1" localSheetId="6" name="Z_32B56D93_D26E_414E_BEFC_A60ECE573753_.wvu.FilterData">mercado_acoes_venda!$A$1:$K$2000</definedName>
    <definedName hidden="1" localSheetId="5" name="Z_1EFE4587_3E6D_4B76_B40D_F3DCE638FB62_.wvu.FilterData">mercado_acoes_compra!$A$1:$K$2001</definedName>
  </definedNames>
  <calcPr/>
  <customWorkbookViews>
    <customWorkbookView activeSheetId="0" maximized="1" windowHeight="0" windowWidth="0" guid="{32B56D93-D26E-414E-BEFC-A60ECE573753}" name="venda"/>
    <customWorkbookView activeSheetId="0" maximized="1" windowHeight="0" windowWidth="0" guid="{1EFE4587-3E6D-4B76-B40D-F3DCE638FB62}" name="Compra"/>
  </customWorkbookViews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tc={23a16e06-4e02-418f-a7b8-32078599a2f3}</author>
  </authors>
  <commentList>
    <comment authorId="0" xr:uid="{23a16e06-4e02-418f-a7b8-32078599a2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luco nesse intervalo foi:
R$ 123,58 - R$ 115,93 = R$ 7,65
</t>
      </text>
    </comment>
  </commentList>
</comments>
</file>

<file path=xl/sharedStrings.xml><?xml version="1.0" encoding="utf-8"?>
<sst xmlns="http://schemas.openxmlformats.org/spreadsheetml/2006/main" count="24199" uniqueCount="259">
  <si>
    <t>Carimbo de data/hora</t>
  </si>
  <si>
    <t>Pergunta sem título</t>
  </si>
  <si>
    <t>Código Cliente</t>
  </si>
  <si>
    <t>Nome Cliente</t>
  </si>
  <si>
    <t>Email Cliente</t>
  </si>
  <si>
    <t>Operação</t>
  </si>
  <si>
    <t>Ticker</t>
  </si>
  <si>
    <t>Preco</t>
  </si>
  <si>
    <t>Data</t>
  </si>
  <si>
    <t>Dia</t>
  </si>
  <si>
    <t>Mês</t>
  </si>
  <si>
    <t>Ano</t>
  </si>
  <si>
    <t>Normalizar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</si>
  <si>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</si>
  <si>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</si>
  <si>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</si>
  <si>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</si>
  <si>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</si>
  <si>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</si>
  <si>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</si>
  <si>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</si>
  <si>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</si>
  <si>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</si>
  <si>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</si>
  <si>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</si>
  <si>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</si>
  <si>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</si>
  <si>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</si>
  <si>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</si>
  <si>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</si>
  <si>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</si>
  <si>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</si>
  <si>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</si>
  <si>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</si>
  <si>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</si>
  <si>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</si>
  <si>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</si>
  <si>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</si>
  <si>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</si>
  <si>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</si>
  <si>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</si>
  <si>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</si>
  <si>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</si>
  <si>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</si>
  <si>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</si>
  <si>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</si>
  <si>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</si>
  <si>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</si>
  <si>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</si>
  <si>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</si>
  <si>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</si>
  <si>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</si>
  <si>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</si>
  <si>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</si>
  <si>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</si>
  <si>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</si>
  <si>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</si>
  <si>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</si>
  <si>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</si>
  <si>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</si>
  <si>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</si>
  <si>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</si>
  <si>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</si>
  <si>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</si>
  <si>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</si>
  <si>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</si>
  <si>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</si>
  <si>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</si>
  <si>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</si>
  <si>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</si>
  <si>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</si>
  <si>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</si>
  <si>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</si>
  <si>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</si>
  <si>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</si>
  <si>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</si>
  <si>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</si>
  <si>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</si>
  <si>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</si>
  <si>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</si>
  <si>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</si>
  <si>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</si>
  <si>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</si>
  <si>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</si>
  <si>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</si>
  <si>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</si>
  <si>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</si>
  <si>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</si>
  <si>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</si>
  <si>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</si>
  <si>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</si>
  <si>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</si>
  <si>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</si>
  <si>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</si>
  <si>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</si>
  <si>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</si>
  <si>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</si>
  <si>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</si>
  <si>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</si>
  <si>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</si>
  <si>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</si>
  <si>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</si>
  <si>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</si>
  <si>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</si>
  <si>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</si>
  <si>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</si>
  <si>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</si>
  <si>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</si>
  <si>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</si>
  <si>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</si>
  <si>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</si>
  <si>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</si>
  <si>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</si>
  <si>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</si>
  <si>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</si>
  <si>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</si>
  <si>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</si>
  <si>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</si>
  <si>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</si>
  <si>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</si>
  <si>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</si>
  <si>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</si>
  <si>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</si>
  <si>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</si>
  <si>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</si>
  <si>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</si>
  <si>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</si>
  <si>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</si>
  <si>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</si>
  <si>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</si>
  <si>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</si>
  <si>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</si>
  <si>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</si>
  <si>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</si>
  <si>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</si>
  <si>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</si>
  <si>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</si>
  <si>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</si>
  <si>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</si>
  <si>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</si>
  <si>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</si>
  <si>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</si>
  <si>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</si>
  <si>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</si>
  <si>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</si>
  <si>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</si>
  <si>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</si>
  <si>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</si>
  <si>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</si>
  <si>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</si>
  <si>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</si>
  <si>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</si>
  <si>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</si>
  <si>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</si>
  <si>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</si>
  <si>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</si>
  <si>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</si>
  <si>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</si>
  <si>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</si>
  <si>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</si>
  <si>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</si>
  <si>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</si>
  <si>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</si>
  <si>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</si>
  <si>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</si>
  <si>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</si>
  <si>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</si>
  <si>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</si>
  <si>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</si>
  <si>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</si>
  <si>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</si>
  <si>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</si>
  <si>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</si>
  <si>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</si>
  <si>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</si>
  <si>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</si>
  <si>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</si>
  <si>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</si>
  <si>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</si>
  <si>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</si>
  <si>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</si>
  <si>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</si>
  <si>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</si>
  <si>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</si>
  <si>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</si>
  <si>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</si>
  <si>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</si>
  <si>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</si>
  <si>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</si>
  <si>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</si>
  <si>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</si>
  <si>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</si>
  <si>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</si>
  <si>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</si>
  <si>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</si>
  <si>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</si>
  <si>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</si>
  <si>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</si>
  <si>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</si>
  <si>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</si>
  <si>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</si>
  <si>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</si>
  <si>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</si>
  <si>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</si>
  <si>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</si>
  <si>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</si>
  <si>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</si>
  <si>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</si>
  <si>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</si>
  <si>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</si>
  <si>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</si>
  <si>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</si>
  <si>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</si>
  <si>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</si>
  <si>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</si>
  <si>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</si>
  <si>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</si>
  <si>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</si>
  <si>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</si>
  <si>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</si>
  <si>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</si>
  <si>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SUM de Preco</t>
  </si>
  <si>
    <t>Total geral</t>
  </si>
  <si>
    <t>gabriela.pereira87@exemplo.com Total</t>
  </si>
  <si>
    <t>Valores</t>
  </si>
  <si>
    <t>Operacao</t>
  </si>
  <si>
    <t>COUNTA de Operação</t>
  </si>
  <si>
    <t>Tabela de estatisticas (mercado de ações)</t>
  </si>
  <si>
    <t>Soma</t>
  </si>
  <si>
    <t>Mínimo</t>
  </si>
  <si>
    <t xml:space="preserve"> Máximo</t>
  </si>
  <si>
    <t>Média</t>
  </si>
  <si>
    <t xml:space="preserve"> Mediana</t>
  </si>
  <si>
    <t>Moda</t>
  </si>
  <si>
    <t>Desvio Padrão</t>
  </si>
  <si>
    <t>Variância</t>
  </si>
  <si>
    <t>Codigo Cliente</t>
  </si>
  <si>
    <t>Nome</t>
  </si>
  <si>
    <t>Email</t>
  </si>
  <si>
    <t>Número total de Transações</t>
  </si>
  <si>
    <t>Número total de vendas</t>
  </si>
  <si>
    <t>Media de Transações</t>
  </si>
  <si>
    <t>Estilo de Cliente</t>
  </si>
  <si>
    <t>Condicional</t>
  </si>
  <si>
    <t>Valor de Transações</t>
  </si>
  <si>
    <t>“Perfil Agressivo”</t>
  </si>
  <si>
    <t>20 ≥ operações</t>
  </si>
  <si>
    <t>Grandes Transações</t>
  </si>
  <si>
    <t>“Perfil Moderado”</t>
  </si>
  <si>
    <t>5 a 19 operações</t>
  </si>
  <si>
    <t>Pequenas Transações</t>
  </si>
  <si>
    <t>20 &lt; operações</t>
  </si>
  <si>
    <t>“Perfil Conservador”</t>
  </si>
  <si>
    <t>0 a 4 operações</t>
  </si>
  <si>
    <t>Estilo de perfil</t>
  </si>
  <si>
    <t>Estilo de gastos</t>
  </si>
  <si>
    <t>Quantidade de operacoes</t>
  </si>
  <si>
    <t>Previsão da Operação</t>
  </si>
  <si>
    <t>Curva de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</si>
</sst>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d"/>
    <numFmt numFmtId="167" formatCode="mm"/>
    <numFmt numFmtId="168" formatCode="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3F3F3"/>
      <name val="Arial"/>
    </font>
    <font>
      <sz val="11.0"/>
      <color rgb="FFF3F3F3"/>
      <name val="Arial"/>
    </font>
    <font>
      <color rgb="FFF3F3F3"/>
      <name val="Arial"/>
      <scheme val="minor"/>
    </font>
    <font>
      <color rgb="FFEFEFEF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b/>
      <color rgb="FFF3F3F3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sz val="10.0"/>
      <color rgb="FFEFEFEF"/>
      <name val="Arial"/>
      <scheme val="minor"/>
    </font>
    <font>
      <sz val="10.0"/>
      <color rgb="FF22053D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readingOrder="0" shrinkToFit="0" vertical="center" wrapText="1"/>
    </xf>
    <xf borderId="1" fillId="2" fontId="4" numFmtId="167" xfId="0" applyAlignment="1" applyBorder="1" applyFont="1" applyNumberFormat="1">
      <alignment horizontal="center" readingOrder="0" shrinkToFit="0" vertical="center" wrapText="1"/>
    </xf>
    <xf borderId="1" fillId="2" fontId="4" numFmtId="168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4" fontId="5" numFmtId="0" xfId="0" applyBorder="1" applyFill="1" applyFont="1"/>
    <xf borderId="2" fillId="0" fontId="1" numFmtId="168" xfId="0" applyAlignment="1" applyBorder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3" fillId="5" fontId="11" numFmtId="168" xfId="0" applyAlignment="1" applyBorder="1" applyFill="1" applyFont="1" applyNumberForma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1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2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Font="1"/>
    <xf borderId="0" fillId="0" fontId="1" numFmtId="49" xfId="0" applyFont="1" applyNumberFormat="1"/>
    <xf borderId="4" fillId="0" fontId="1" numFmtId="49" xfId="0" applyBorder="1" applyFont="1" applyNumberFormat="1"/>
    <xf borderId="5" fillId="0" fontId="1" numFmtId="0" xfId="0" applyBorder="1" applyFont="1"/>
    <xf borderId="4" fillId="0" fontId="1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8" fillId="2" fontId="13" numFmtId="0" xfId="0" applyAlignment="1" applyBorder="1" applyFont="1">
      <alignment horizontal="center" readingOrder="0" shrinkToFit="0" vertical="center" wrapText="1"/>
    </xf>
    <xf borderId="9" fillId="0" fontId="14" numFmtId="0" xfId="0" applyBorder="1" applyFont="1"/>
    <xf borderId="0" fillId="5" fontId="11" numFmtId="0" xfId="0" applyAlignment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5" fontId="16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3" fillId="5" fontId="16" numFmtId="0" xfId="0" applyAlignment="1" applyBorder="1" applyFont="1">
      <alignment horizontal="center" readingOrder="0" shrinkToFit="0" vertical="center" wrapText="1"/>
    </xf>
    <xf borderId="3" fillId="5" fontId="11" numFmtId="164" xfId="0" applyAlignment="1" applyBorder="1" applyFont="1" applyNumberFormat="1">
      <alignment horizontal="center" shrinkToFit="0" vertical="center" wrapText="1"/>
    </xf>
    <xf borderId="0" fillId="5" fontId="16" numFmtId="0" xfId="0" applyAlignment="1" applyFont="1">
      <alignment horizontal="center" readingOrder="0" shrinkToFit="0" vertical="center" wrapText="1"/>
    </xf>
    <xf borderId="0" fillId="5" fontId="11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horizontal="center" readingOrder="0" shrinkToFit="0" vertical="center" wrapText="1"/>
    </xf>
    <xf borderId="10" fillId="0" fontId="14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5" fontId="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8" fillId="2" fontId="18" numFmtId="0" xfId="0" applyAlignment="1" applyBorder="1" applyFont="1">
      <alignment horizontal="center" readingOrder="0" shrinkToFit="0" vertical="center" wrapText="1"/>
    </xf>
    <xf borderId="8" fillId="5" fontId="19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readingOrder="0"/>
    </xf>
    <xf borderId="0" fillId="0" fontId="20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8" fillId="2" fontId="5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2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ffrey Brandemburg" id="{aefabb70-a1b1-439d-b5ad-2e938f48ebe5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1" sheet="mercado_acoes"/>
  </cacheSource>
  <cacheFields>
    <cacheField name="Código Cliente" numFmtId="1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49">
      <sharedItems>
        <s v="Compra"/>
        <s v="Venda"/>
      </sharedItems>
    </cacheField>
    <cacheField name="Ticker" numFmtId="49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166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Mês" numFmtId="167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Ano" numFmtId="168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Normalizar" numFmtId="0">
      <sharedItems containsSemiMixedTypes="0" containsString="0" containsNumber="1">
        <n v="0.11395289946821979"/>
        <n v="0.6583945302608255"/>
        <n v="0.2581666244618891"/>
        <n v="0.4867054950620411"/>
        <n v="0.2109394783489491"/>
        <n v="0.13484426437072675"/>
        <n v="0.29412509496074957"/>
        <n v="0.5753355279817676"/>
        <n v="0.8114712585464675"/>
        <n v="0.7011901747277792"/>
        <n v="0.32527222081539625"/>
        <n v="0.9830336794125094"/>
        <n v="0.3657888072929856"/>
        <n v="0.12167637376551024"/>
        <n v="0.2751329450493796"/>
        <n v="0.24195998987085335"/>
        <n v="0.8665484932894403"/>
        <n v="0.1894150417827298"/>
        <n v="0.43884527728538875"/>
        <n v="0.1418080526715624"/>
        <n v="0.47644973410990127"/>
        <n v="0.609141554824006"/>
        <n v="0.39225120283616105"/>
        <n v="0.4922765257027096"/>
        <n v="0.11167384147885538"/>
        <n v="0.8731324385920487"/>
        <n v="0.9265636870093695"/>
        <n v="0.5831856166118005"/>
        <n v="0.12610787541149657"/>
        <n v="0.1751076221828311"/>
        <n v="0.6761205368447709"/>
        <n v="0.44150417827298055"/>
        <n v="0.11382628513547731"/>
        <n v="0.45998987085338067"/>
        <n v="0.9004811344644214"/>
        <n v="0.9744239047860218"/>
        <n v="0.2563940238034945"/>
        <n v="0.023676880222841222"/>
        <n v="0.11433274246644719"/>
        <n v="0.1366168650291213"/>
        <n v="0.7080273486958724"/>
        <n v="0.09040263357812103"/>
        <n v="0.5715370979994935"/>
        <n v="0.22372752595593817"/>
        <n v="0.531780197518359"/>
        <n v="0.11813117244872119"/>
        <n v="0.003165358318561661"/>
        <n v="0.5126614332742466"/>
        <n v="0.11230691314256773"/>
        <n v="0.5148138769308686"/>
        <n v="0.785008863003292"/>
        <n v="0.34654342871613064"/>
        <n v="0.3428716130665991"/>
        <n v="0.3218536338313497"/>
        <n v="0.6833375538110914"/>
        <n v="0.9475816662446189"/>
        <n v="0.14206128133704735"/>
        <n v="0.3303367941250949"/>
        <n v="0.40200050645733093"/>
        <n v="0.46100278551532037"/>
        <n v="0.010888832615852115"/>
        <n v="0.023297037224613827"/>
        <n v="0.38693340086097744"/>
        <n v="0.15370979994935424"/>
        <n v="0.5107622182831096"/>
        <n v="0.5654596100278552"/>
        <n v="0.043048873132438596"/>
        <n v="0.11686502912129651"/>
        <n v="0.11572550012661431"/>
        <n v="0.4315016459863257"/>
        <n v="0.196252215750823"/>
        <n v="0.08369207394277033"/>
        <n v="0.747531020511522"/>
        <n v="0.1806786528234996"/>
        <n v="0.1406685236768802"/>
        <n v="0.051658647758926306"/>
        <n v="0.1320587490503925"/>
        <n v="0.8837680425424157"/>
        <n v="0.6352241073689542"/>
        <n v="0.23904786021777663"/>
        <n v="0.11939731577614585"/>
        <n v="0.6078754114965814"/>
        <n v="0.37781716890351985"/>
        <n v="0.016713091922005572"/>
        <n v="0.4811344644213725"/>
        <n v="0.3785768548999746"/>
        <n v="0.13256520638136235"/>
        <n v="0.39199797417067606"/>
        <n v="0.1339579640415295"/>
        <n v="0.0962268928842745"/>
        <n v="0.21853633831349706"/>
        <n v="0.11914408711066092"/>
        <n v="0.46125601418080525"/>
        <n v="0.365915421625728"/>
        <n v="0.02481640921752342"/>
        <n v="0.6601671309192201"/>
        <n v="0.032160040516586476"/>
        <n v="0.1293998480628007"/>
        <n v="0.1177513294504937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4"/>
        <n v="0.5807799442896936"/>
        <n v="0.07926057229678399"/>
        <n v="0.22866548493289438"/>
        <n v="0.1381362370220309"/>
        <n v="0.13218536338313497"/>
        <n v="0.6894150417827298"/>
        <n v="0.1440871106609268"/>
        <n v="0.9331476323119777"/>
        <n v="0.5064573309698658"/>
        <n v="0.25474803747784247"/>
        <n v="0.3894656875158268"/>
        <n v="0.43112180298809827"/>
        <n v="0.3685743226133198"/>
        <n v="0.17371486452266394"/>
        <n v="0.15155735629273231"/>
        <n v="0.8067865282349962"/>
        <n v="0.02633578121043302"/>
        <n v="0.14269435300075967"/>
        <n v="0.5260825525449481"/>
        <n v="0.19321347176500375"/>
        <n v="0.15421625728032412"/>
        <n v="0.4591035705241834"/>
        <n v="0.01278804760698911"/>
        <n v="0.01418080526715624"/>
        <n v="0.14168143833881994"/>
        <n v="0.17320840719169409"/>
        <n v="0.34021271207900733"/>
        <n v="0.4672068878197012"/>
        <n v="0.9203595847049886"/>
        <n v="0.7571537097999493"/>
        <n v="0.16257280324132692"/>
        <n v="0.33476829577108125"/>
        <n v="0.23132438592048618"/>
        <n v="0.4097239807546214"/>
        <n v="0.8609774626487718"/>
        <n v="0.14725246897948846"/>
        <n v="0.012914661939731575"/>
        <n v="0.33869334008609775"/>
        <n v="0.43390731830843254"/>
        <n v="0.025069637883008353"/>
        <n v="0.21980248164092173"/>
        <n v="0.12003038743985817"/>
        <n v="0.3835148138769308"/>
        <n v="0.06938465434287161"/>
        <n v="0.15219042795644466"/>
        <n v="0.24499873385667253"/>
        <n v="0.14497341099012406"/>
        <n v="0.11737148645226639"/>
        <n v="0.9918966827044822"/>
        <n v="0.27348695872372747"/>
        <n v="0.3757913395796404"/>
        <n v="0.42694353000759694"/>
        <n v="0.3798429982273993"/>
        <n v="0.03152696885287415"/>
        <n v="0.2524689794884781"/>
        <n v="0.9585971131932135"/>
        <n v="0.11952393010888832"/>
        <n v="0.17219549252975436"/>
        <n v="0.25993922512028356"/>
        <n v="0.17485439351734614"/>
        <n v="0.7518359078247657"/>
        <n v="0.3674347936186376"/>
        <n v="0.38465434287161304"/>
        <n v="0.7487971638389466"/>
        <n v="0.03722461382628514"/>
        <n v="0.24309951886553555"/>
        <n v="0.21321853633831347"/>
        <n v="0.4650544441630793"/>
        <n v="0.33970625474803745"/>
        <n v="0.04368194479615092"/>
        <n v="0.007723474297290451"/>
        <n v="0.03557862750063308"/>
        <n v="0.7028361610534313"/>
        <n v="0.49658141301595343"/>
        <n v="0.7652570270954673"/>
        <n v="0.2070144340339326"/>
        <n v="0.15522917194226385"/>
        <n v="0.5573562927323373"/>
        <n v="0.051278804760698904"/>
        <n v="0.2458850341858698"/>
        <n v="0.11331982780450746"/>
        <n v="0.188655355786275"/>
        <n v="0.13408457837427196"/>
        <n v="0.23297037224613823"/>
        <n v="0.699797417067612"/>
        <n v="0.03000759685996455"/>
        <n v="0.44289693593314766"/>
        <n v="0.19296024309951884"/>
        <n v="0.7167637376551025"/>
        <n v="0.027728538870600155"/>
        <n v="0.034439098505950866"/>
        <n v="0.22157508229931627"/>
        <n v="0.31337047353760444"/>
        <n v="0.5565966067358825"/>
        <n v="0.5089896176247152"/>
        <n v="0.2218283109648012"/>
        <n v="0.13155229171942262"/>
        <n v="0.11648518612306911"/>
        <n v="0.1311724487211952"/>
        <n v="0.711192707014434"/>
        <n v="0.4884780957204356"/>
        <n v="0.24082046087617118"/>
        <n v="0.008356545961002784"/>
        <n v="0.186756140795138"/>
        <n v="0.14839199797417066"/>
        <n v="0.10610281083818686"/>
        <n v="0.30805267156242083"/>
        <n v="0.30349455558369204"/>
        <n v="0.3067865282349962"/>
        <n v="0.1572550012661433"/>
        <n v="0.17067612053684475"/>
        <n v="0.15750822993162825"/>
        <n v="0.29627753861737144"/>
        <n v="0.11407951380096226"/>
        <n v="0.18004558115978728"/>
        <n v="0.16687769055457077"/>
        <n v="0.22613319827804507"/>
        <n v="0.41390225373512285"/>
        <n v="0.40238034945555834"/>
        <n v="0.14193466700430488"/>
        <n v="0.4989870853380603"/>
        <n v="0.49886047100531783"/>
        <n v="0.17181564953152695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499"/>
        <n v="0.1580146872625981"/>
        <n v="0.17029627753861734"/>
        <n v="0.43947834894910104"/>
        <n v="0.22777918460369712"/>
        <n v="0.005064573309698657"/>
        <n v="0.3651557356292732"/>
        <n v="0.5712838693340087"/>
        <n v="0.20726766269941757"/>
        <n v="0.0030387439858191945"/>
        <n v="0.22701949860724233"/>
        <n v="0.42086604203595845"/>
        <n v="0.8324892377817168"/>
        <n v="0.439731577614586"/>
        <n v="0.48569258040010127"/>
        <n v="0.14813876930868572"/>
        <n v="0.69815143074196"/>
        <n v="0.20308938971891616"/>
        <n v="0.10002532286654849"/>
        <n v="0.1953659154216257"/>
        <n v="0.364016206634591"/>
        <n v="0.1259812610787541"/>
        <n v="0.1410483666751076"/>
        <n v="0.14396049632818433"/>
        <n v="0.04963281843504684"/>
        <n v="0.35186123069131425"/>
        <n v="0.013927576601671307"/>
        <n v="0.9421372499366928"/>
        <n v="0.3062800709040263"/>
        <n v="0.1392757660167131"/>
        <n v="0.17662699417574068"/>
        <n v="0.8573056469992404"/>
        <n v="0.36528234996201564"/>
        <n v="0.026209166877690558"/>
        <n v="0.012028361610534312"/>
        <n v="0.02722208153963029"/>
        <n v="0.14016206634591033"/>
        <n v="0.42010635603950364"/>
        <n v="0.4453026082552545"/>
        <n v="0.3236262344897442"/>
        <n v="0.1648518612306913"/>
        <n v="0.12116991643454036"/>
        <n v="0.009369460622942517"/>
        <n v="0.13180552038490756"/>
        <n v="0.40339326411749804"/>
        <n v="0.5971131932134718"/>
        <n v="0.04228918713598379"/>
        <n v="0.2967839959483413"/>
        <n v="0.316789060521651"/>
        <n v="0.2510762218283109"/>
        <n v="0.38110914155482395"/>
        <n v="0.19220055710306405"/>
        <n v="0.31552291719422637"/>
        <n v="0.33071663712332233"/>
        <n v="0.4541656115472272"/>
        <n v="0.14003545201316786"/>
        <n v="0.16168650291212963"/>
        <n v="0.6891618131172448"/>
        <n v="0.41567485439351737"/>
        <n v="0.027601924537857682"/>
        <n v="0.010382375284882249"/>
        <n v="0.18422385414028866"/>
        <n v="0.8595847049886046"/>
        <n v="0.21233223600911622"/>
        <n v="0.16421878956697897"/>
        <n v="0.013800962268928843"/>
        <n v="0.7077741200303874"/>
        <n v="0.6768802228412256"/>
        <n v="0.012408204608761709"/>
        <n v="0.615345657128387"/>
        <n v="0.5904026335781211"/>
        <n v="0.726133198278045"/>
        <n v="0.11927070144340339"/>
        <n v="0.15130412762724738"/>
        <n v="0.11876424411243351"/>
        <n v="0.27525955938212204"/>
        <n v="0.18612306913142565"/>
        <n v="0.11243352747531019"/>
        <n v="0.39718916181311725"/>
        <n v="0.11661180045581158"/>
        <n v="0.3671815649531527"/>
        <n v="0.3632565206381362"/>
        <n v="0.12079007343631297"/>
        <n v="0.3004558115978729"/>
        <n v="0.1991643454038997"/>
        <n v="0.11635857179032666"/>
        <n v="0.17409470752089135"/>
        <n v="0.1538364142820967"/>
        <n v="0.37161306659913895"/>
        <n v="0.42605722967839965"/>
        <n v="0.012154975943276775"/>
        <n v="0.04861990377310711"/>
        <n v="0.3086857432261332"/>
        <n v="0.3403393264117498"/>
        <n v="0.8859204861990376"/>
        <n v="0.21587743732590528"/>
        <n v="0.21600405165864772"/>
        <n v="1.0"/>
        <n v="0.1972651304127627"/>
        <n v="0.515193719929096"/>
        <n v="0.4742972904532793"/>
        <n v="0.11256014180805266"/>
        <n v="0.4664472018232464"/>
        <n v="0.22651304127627248"/>
        <n v="0.2165105089896176"/>
        <n v="0.11597872879209926"/>
        <n v="0.4902506963788301"/>
        <n v="0.3441377563940238"/>
        <n v="0.37325905292479106"/>
        <n v="0.16738414788554062"/>
        <n v="0.8651557356292732"/>
        <n v="0.5867308179285895"/>
        <n v="0.1652317042289187"/>
        <n v="0.714991136996708"/>
        <n v="0.3740187389212459"/>
        <n v="0.20194986072423396"/>
        <n v="0.4582172701949861"/>
        <n v="0.24411243352747528"/>
        <n v="0.09420106356039504"/>
        <n v="0.3609774626487718"/>
        <n v="0.1399088376804254"/>
        <n v="0.13243859204861988"/>
        <n v="0.605343124841732"/>
        <n v="0.21815649531526968"/>
        <n v="0.13775639402380346"/>
        <n v="0.2627247404406179"/>
        <n v="0.184856925804001"/>
        <n v="0.4949354266903014"/>
        <n v="0.44707520891364905"/>
        <n v="0.4851861230691314"/>
        <n v="0.04469485945809066"/>
        <n v="0.3221068624968346"/>
        <n v="0.8253988351481387"/>
        <n v="0.14915168397062545"/>
        <n v="0.27120790073436307"/>
        <n v="0.4189668270448215"/>
        <n v="0.22461382628513546"/>
        <n v="0.15244365662192957"/>
        <n v="0.7705748290706508"/>
        <n v="0.13421119270701443"/>
        <n v="0.40124082046087617"/>
        <n v="0.0037984299822739938"/>
        <n v="0.13623702203089388"/>
        <n v="0.17865282349962014"/>
        <n v="0.40706507976702966"/>
        <n v="0.05140541909344138"/>
        <n v="0.24955684983540136"/>
        <n v="0.22739934160546973"/>
        <n v="0.41681438338819954"/>
        <n v="0.47746264877184097"/>
        <n v="0.14535325398835144"/>
        <n v="0.1825778678146366"/>
        <n v="0.028741453532539877"/>
        <n v="0.1368700936946062"/>
        <n v="0.3502152443656622"/>
        <n v="0.24449227652570268"/>
        <n v="0.009496074955684981"/>
        <n v="0.3055203849075715"/>
        <n v="0.013041276272474044"/>
        <n v="0.4973410990124082"/>
        <n v="0.14434033932641172"/>
        <n v="0.46226892884274506"/>
        <n v="0.16725753355279815"/>
        <n v="0.1690301342111927"/>
        <n v="0.1345910357052418"/>
        <n v="0.44454292225879966"/>
        <n v="0.17232210686249683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47"/>
        <n v="0.4891111673841479"/>
        <n v="0.7729805013927576"/>
        <n v="0.5526715624208661"/>
        <n v="0.13446442137249934"/>
        <n v="0.3649025069637883"/>
        <n v="0.1557356292732337"/>
        <n v="0.41162319574575845"/>
        <n v="0.23588250189921497"/>
        <n v="0.4868321093947835"/>
        <n v="0.4803747784249177"/>
        <n v="0.9347936186376297"/>
        <n v="0.3195745758419853"/>
        <n v="0.40351987845024057"/>
        <n v="0.4958217270194986"/>
        <n v="0.03102051152190428"/>
        <n v="0.39174474550519117"/>
        <n v="0.39908837680425424"/>
        <n v="0.27601924537857686"/>
        <n v="0.3432514560648265"/>
        <n v="0.11977715877437324"/>
        <n v="0.24044061787794374"/>
        <n v="0.1749810078500886"/>
        <n v="0.7914661939731578"/>
        <n v="0.3645226639655609"/>
        <n v="0.6030640668523677"/>
        <n v="0.37870346923271714"/>
        <n v="0.4960749556849835"/>
        <n v="0.3576854899974677"/>
        <n v="0.31299063053937703"/>
        <n v="0.13940238034945554"/>
        <n v="0.765763484426437"/>
        <n v="0.14775892631045834"/>
        <n v="0.2550012661433274"/>
        <n v="0.43099518865535585"/>
        <n v="0.45175993922512026"/>
        <n v="0.5448214737908331"/>
        <n v="0.6602937452519626"/>
        <n v="0.27753861737148644"/>
        <n v="0.7477842491770068"/>
        <n v="0.005824259306153456"/>
        <n v="0.050898961762471516"/>
        <n v="0.5954672068878197"/>
        <n v="0.8988351481387694"/>
        <n v="0.3514813876930868"/>
        <n v="0.5882501899214991"/>
        <n v="0.35452013167890606"/>
        <n v="0.16991643454038996"/>
        <n v="0.3313497087870346"/>
        <n v="0.8631299063053938"/>
        <n v="0.14320081033172952"/>
        <n v="0.1296530767282856"/>
        <n v="0.15231704228918713"/>
        <n v="0.20562167637376547"/>
        <n v="0.16877690554570776"/>
        <n v="0.12990630539377057"/>
        <n v="0.7013167890605216"/>
        <n v="0.3290706507976703"/>
        <n v="0.41326918207141045"/>
        <n v="0.756773866801722"/>
        <n v="0.3180552038490757"/>
        <n v="0.05077234742972904"/>
        <n v="0.0024056723221068618"/>
        <n v="0.28310964801215494"/>
        <n v="0.11534565712838692"/>
        <n v="0.09660673588250189"/>
        <n v="0.15408964294758165"/>
        <n v="0.04203595847049886"/>
        <n v="0.16700430488731324"/>
        <n v="0.27019498607242337"/>
        <n v="0.006204102304380855"/>
        <n v="0.41263611040769815"/>
        <n v="0.11838440111420612"/>
        <n v="0.15814130159534057"/>
        <n v="0.456824512534819"/>
        <n v="0.35211445935679914"/>
        <n v="0.11610534312484172"/>
        <n v="0.4061787794378324"/>
        <n v="0.15029121296530765"/>
        <n v="0.6406685236768802"/>
        <n v="0.3294504937958977"/>
        <n v="0.5933147632311977"/>
        <n v="0.12154975943276777"/>
        <n v="0.11445935679918966"/>
        <n v="0.23347682957710808"/>
        <n v="0.19903773107115724"/>
        <n v="0.15826791592808306"/>
        <n v="0.9826538364142821"/>
        <n v="0.16611800455811596"/>
        <n v="0.19688528741453531"/>
        <n v="0.2883008356545961"/>
        <n v="0.703595847049886"/>
        <n v="0.13294504937958976"/>
        <n v="0.1618131172448721"/>
        <n v="0.7627247404406179"/>
        <n v="0.3013421119270701"/>
        <n v="0.8571790326664979"/>
        <n v="0.03304634084578374"/>
        <n v="0.16510508989617623"/>
        <n v="0.42681691567485436"/>
        <n v="0.47151177513294507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4"/>
        <n v="0.1305393770574829"/>
        <n v="0.29146619397315776"/>
        <n v="0.5196252215750824"/>
        <n v="0.45492529754368194"/>
        <n v="0.1930868574322613"/>
        <n v="0.07989364396049634"/>
        <n v="0.20536844770828055"/>
        <n v="0.1675107622182831"/>
        <n v="0.17852620916687767"/>
        <n v="0.7508229931628261"/>
        <n v="0.11104076981514306"/>
        <n v="0.175360850848316"/>
        <n v="0.19182071410483664"/>
        <n v="0.5858445175993923"/>
        <n v="0.42757660167130923"/>
        <n v="0.015446948594580906"/>
        <n v="0.2018232463914915"/>
        <n v="0.12889339073183084"/>
        <n v="0.32299316282603185"/>
        <n v="0.29893643960496324"/>
        <n v="0.3455305140541909"/>
        <n v="0.4696125601418081"/>
        <n v="0.9298556596606735"/>
        <n v="0.02418333755381109"/>
        <n v="0.139528994682198"/>
        <n v="0.6985312737401874"/>
        <n v="0.21549759432767787"/>
        <n v="0.38237528488224864"/>
        <n v="0.8645226639655609"/>
        <n v="0.1478855406432008"/>
        <n v="0.5791339579640415"/>
        <n v="0.8236262344897441"/>
        <n v="0.1938465434287161"/>
        <n v="0.840086097746265"/>
        <n v="0.16573816155988857"/>
        <n v="0.36199037731071154"/>
        <n v="0.013167890605216507"/>
        <n v="0.3114712585464674"/>
        <n v="0.44846796657381616"/>
        <n v="0.65092428462902"/>
        <n v="0.4983540136743479"/>
        <n v="0.02595593821220562"/>
        <n v="0.0022790579893643952"/>
        <n v="0.2826031906811851"/>
        <n v="0.13522410736895416"/>
        <n v="0.03013421119270701"/>
        <n v="0.6616865029121297"/>
        <n v="0.16383894656875156"/>
        <n v="0.026462395543175483"/>
        <n v="0.5901494049126361"/>
        <n v="0.3775639402380349"/>
        <n v="0.5103823752848823"/>
        <n v="0.47379083312230946"/>
        <n v="0.03760445682451253"/>
        <n v="0.024436566219296022"/>
        <n v="0.13497087870346922"/>
        <n v="0.13598379336540894"/>
        <n v="0.7327171435806533"/>
        <n v="0.4604963281843505"/>
        <n v="0.22448721195239302"/>
        <n v="0.84907571537098"/>
        <n v="0.6419346670043049"/>
        <n v="0.13142567738668015"/>
        <n v="0.1532033426183844"/>
        <n v="0.30792605722967836"/>
        <n v="0.5083565459610029"/>
        <n v="0.5869840465940744"/>
        <n v="0.147125854646746"/>
        <n v="0.22638642694352998"/>
        <n v="0.14459356799189668"/>
        <n v="0.2156242086604203"/>
        <n v="0.17548746518105848"/>
        <n v="0.15776145859711319"/>
        <n v="0.7722208153963028"/>
        <n v="0.26158521144593566"/>
        <n v="0.43428716130665995"/>
        <n v="0.39085844517599394"/>
        <n v="0.22891871359837931"/>
        <n v="0.577361357305647"/>
        <n v="0.11458597113193211"/>
        <n v="0.18270448214737908"/>
        <n v="0.2024563180552038"/>
        <n v="0.16649784755634336"/>
        <n v="0.48202076475056976"/>
        <n v="0.7203089389718916"/>
        <n v="0.08685743226133198"/>
        <n v="0.39022537351228154"/>
        <n v="0.7356292732337301"/>
        <n v="0.11711825778678146"/>
        <n v="0.41187642441124334"/>
        <n v="0.6763737655102557"/>
        <n v="0.39503671815649527"/>
        <n v="0.14573309698657888"/>
        <n v="0.17751329450493794"/>
        <n v="0.16624461889085843"/>
        <n v="0.41352241073689544"/>
        <n v="0.11889085844517597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1"/>
        <n v="0.6331982780450748"/>
        <n v="0.0354520131678906"/>
        <n v="0.12041023043808559"/>
        <n v="0.28614839199797415"/>
        <n v="0.3976956191440871"/>
        <n v="0.2715877437325905"/>
        <n v="0.13332489237781717"/>
        <n v="0.6162319574575842"/>
        <n v="0.16358571790326665"/>
        <n v="0.27374018738921246"/>
        <n v="0.25360850848316024"/>
        <n v="0.015826791592808302"/>
        <n v="0.03291972651304127"/>
        <n v="0.4778424917700684"/>
        <n v="0.5111420612813371"/>
        <n v="0.4123828817422132"/>
        <n v="0.42972904532793116"/>
        <n v="0.14687262598126108"/>
        <n v="0.8050139275766016"/>
        <n v="0.13585717903266648"/>
        <n v="0.17295517852620915"/>
        <n v="0.5710306406685237"/>
        <n v="0.3885793871866295"/>
        <n v="0.10926816915674853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26"/>
        <n v="0.6438338819954419"/>
        <n v="0.01987845024056723"/>
        <n v="0.475563433780704"/>
        <n v="0.22144846796657378"/>
        <n v="0.0027855153203342614"/>
        <n v="0.1467460116485186"/>
        <n v="0.01101544694859458"/>
        <n v="0.36654849328944034"/>
        <n v="0.5175993922512029"/>
        <n v="0.1901747277791846"/>
        <n v="0.20346923271714357"/>
        <n v="0.29184603697138517"/>
        <n v="0.3199544188402127"/>
        <n v="0.4825272220815396"/>
        <n v="0.2833628766776399"/>
        <n v="0.5733096986578881"/>
        <n v="0.3405925550772347"/>
        <n v="0.39554317548746515"/>
        <n v="0.628640162066346"/>
        <n v="0.3927576601671309"/>
        <n v="0.8099518865535578"/>
        <n v="0.03570524183337554"/>
        <n v="0.5449480881235756"/>
        <n v="0.6193973157761459"/>
        <n v="0.18359078247657634"/>
        <n v="0.3573056469992403"/>
        <n v="0.143327424664472"/>
        <n v="0.36870093694606226"/>
        <n v="0.014434033932641173"/>
        <n v="0.4718916181311725"/>
        <n v="0.37363889592301847"/>
        <n v="0.3297037224613826"/>
        <n v="0.36566219296024305"/>
        <n v="0.19207394277032155"/>
        <n v="0.40959736642187894"/>
        <n v="0.36059761965054443"/>
        <n v="0.39744239047860214"/>
        <n v="0.8637629779691061"/>
        <n v="0.21929602430995188"/>
        <n v="0.5729298556596606"/>
        <n v="0.014813876930868575"/>
        <n v="0.14142820967333503"/>
        <n v="0.9591035705241833"/>
        <n v="0.14244112433527475"/>
        <n v="0.48467966573816157"/>
        <n v="0.11547227146112939"/>
        <n v="0.015193719929095972"/>
        <n v="0.32881742213218534"/>
        <n v="0.3153963028614839"/>
        <n v="0.42415801468726255"/>
        <n v="0.45239301088883266"/>
        <n v="0.45505191187642446"/>
        <n v="0.35325398835148136"/>
        <n v="0.5178526209166878"/>
        <n v="0.09723980754621424"/>
        <n v="0.47075208913649025"/>
        <n v="0.18992149911369965"/>
        <n v="0.8089389718916181"/>
        <n v="0.33324892377817167"/>
        <n v="0.2972904532793112"/>
        <n v="0.20055710306406685"/>
        <n v="0.38997214484679665"/>
        <n v="0.692200557103064"/>
        <n v="0.13104583438845277"/>
        <n v="0.4832869080779944"/>
        <n v="0.19258040010129146"/>
        <n v="0.29665738161559885"/>
        <n v="0.18447708280577357"/>
        <n v="0.19030134211192704"/>
        <n v="0.12066345910357051"/>
        <n v="0.4761965054444163"/>
        <n v="0.3366675107622183"/>
        <n v="0.12281590276019244"/>
        <n v="0.700050645733097"/>
        <n v="0.16092681691567484"/>
        <n v="0.01570017726006584"/>
        <n v="0.44720182324639146"/>
        <n v="0.01823246391491517"/>
        <n v="0.1444669536591542"/>
        <n v="0.15864775892631044"/>
        <n v="0.5492529754368195"/>
        <n v="0.3584451759939225"/>
        <n v="0.12572803241326916"/>
        <n v="0.6012914661939731"/>
        <n v="0.22056216763737652"/>
        <n v="0.03076728285641934"/>
        <n v="0.4496074955684984"/>
        <n v="0.7501899214991137"/>
        <n v="0.01911876424411243"/>
        <n v="0.11762471511775131"/>
        <n v="0.4874651810584958"/>
        <n v="0.017852620916687767"/>
        <n v="0.21954925297543681"/>
        <n v="0.0419093441377564"/>
        <n v="0.25538110914155476"/>
        <n v="0.1799189668270448"/>
        <n v="0.11965054444163077"/>
        <n v="0.6337047353760445"/>
        <n v="0.19334008609774625"/>
        <n v="0.0196252215750823"/>
        <n v="0.8541402886806787"/>
        <n v="0.5878703469232717"/>
        <n v="0.13611040769815141"/>
        <n v="0.11559888579387184"/>
        <n v="0.16915674854393517"/>
        <n v="0.13674347936186373"/>
        <n v="0.030514054190934413"/>
        <n v="0.23322360091162317"/>
        <n v="0.17447455051911875"/>
        <n v="0.17282856419346668"/>
        <n v="0.4963281843504685"/>
        <n v="0.02570270954672069"/>
        <n v="0.11699164345403897"/>
        <n v="0.19409977209420104"/>
        <n v="0.23841478855406428"/>
        <n v="0.46391491516839706"/>
        <n v="0.23562927323373004"/>
        <n v="0.6961256014180806"/>
        <n v="0.17054950620410228"/>
        <n v="0.1927070144340339"/>
        <n v="0.07812104330210179"/>
        <n v="0.7779184603697139"/>
        <n v="0.46986578880729296"/>
        <n v="0.2541149658141301"/>
        <n v="0.7434793618637631"/>
        <n v="0.16016713091922002"/>
        <n v="0.12509496074955684"/>
        <n v="0.8293238794631552"/>
        <n v="0.13269182071410482"/>
        <n v="0.2180298809825272"/>
        <n v="0.13079260572296783"/>
        <n v="0.13965560901494048"/>
        <n v="0.22537351228159028"/>
        <n v="0.40554570777412"/>
        <n v="0.1709293492023297"/>
        <n v="0.27437325905292476"/>
        <n v="0.1713091922005571"/>
        <n v="0.5138009622689289"/>
        <n v="0.22689288427449983"/>
        <n v="0.15700177260065837"/>
        <n v="0.17194226386426942"/>
        <n v="0.5158267915928083"/>
        <n v="0.4932894403646493"/>
        <n v="0.43935173461635857"/>
        <n v="0.04608761711825779"/>
        <n v="0.005191187642441123"/>
        <n v="0.1738414788554064"/>
        <n v="0.1334515067105596"/>
        <n v="0.4592301848569258"/>
        <n v="0.2037224613826285"/>
        <n v="0.051911876424411245"/>
        <n v="0.4563180552038491"/>
        <n v="0.20676120536844766"/>
        <n v="0.39389718916181304"/>
        <n v="0.4003545201316789"/>
        <n v="0.1568751582679159"/>
        <n v="0.46252215750822995"/>
        <n v="0.3100785008863003"/>
        <n v="0.16143327424664472"/>
        <n v="0.3789566978982021"/>
        <n v="0.13762977969106102"/>
        <n v="0.15079767029627753"/>
        <n v="0.43669283362876676"/>
        <n v="0.03203342618384401"/>
        <n v="0.18194479615092427"/>
        <n v="0.03140035452013167"/>
        <n v="0.2387946315522917"/>
        <n v="0.02203089389718916"/>
        <n v="0.02886806786528235"/>
        <n v="0.962268928842745"/>
        <n v="0.14130159534059256"/>
        <n v="0.7693086857432262"/>
        <n v="0.44580906558622435"/>
        <n v="0.23448974423904784"/>
        <n v="0.6254748037477843"/>
        <n v="0.39149151683970623"/>
        <n v="0.07027095467206887"/>
        <n v="0.3535072170169663"/>
        <n v="0.18245125348189414"/>
        <n v="0.6301595340592555"/>
        <n v="0.2676626994175741"/>
        <n v="0.3588250189921499"/>
        <n v="0.16497847556343376"/>
        <n v="0.17472777918460367"/>
        <n v="0.18878197011901746"/>
        <n v="0.24651810584958214"/>
        <n v="0.11623195745758419"/>
        <n v="0.037351228159027604"/>
        <n v="0.0013927576601671292"/>
        <n v="0.3373005824259306"/>
        <n v="0.27842491770068367"/>
        <n v="0.7910863509749304"/>
        <n v="0.17308179285895162"/>
        <n v="0.4080779944289694"/>
        <n v="0.03228665484932894"/>
        <n v="0.033679412509496076"/>
        <n v="0.41225626740947074"/>
        <n v="0.23360344390985058"/>
        <n v="0.15560901494049126"/>
        <n v="0.44112433527475314"/>
        <n v="0.0882501899214991"/>
        <n v="0.24563180552038488"/>
        <n v="0.39339073183084317"/>
        <n v="0.19967080273486956"/>
        <n v="0.8709799949354268"/>
        <n v="0.09116231957457584"/>
        <n v="0.3898455305140542"/>
        <n v="0.25626740947075205"/>
        <n v="0.34097239807546215"/>
        <n v="0.6987845024056724"/>
        <n v="0.32387946315522914"/>
        <n v="0.43909850595087363"/>
        <n v="0.4232717143580653"/>
        <n v="0.23271714358065332"/>
        <n v="0.12674094707520892"/>
        <n v="0.199797417067612"/>
        <n v="0.2500633071663712"/>
        <n v="0.40921752342365153"/>
        <n v="0.9383388199544188"/>
        <n v="0.7343631299063054"/>
        <n v="0.11863762977969104"/>
        <n v="0.2871613066599139"/>
        <n v="0.5253228665484933"/>
        <n v="0.23221068624968344"/>
        <n v="0.2587996961256014"/>
        <n v="0.3565459610027855"/>
        <n v="0.8703469232717145"/>
        <n v="0.37731071157255003"/>
        <n v="0.0"/>
        <n v="0.160420359584705"/>
        <n v="0.7499366928336287"/>
        <n v="0.03798429982273993"/>
        <n v="0.8133704735376045"/>
        <n v="0.15877437325905291"/>
        <n v="0.3546467460116485"/>
        <n v="0.1977715877437326"/>
        <n v="0.21942263864269432"/>
        <n v="0.41542162572803243"/>
        <n v="0.028361610534312486"/>
        <n v="0.04127627247404406"/>
        <n v="0.4767029627753862"/>
        <n v="0.4935426690301342"/>
        <n v="0.675360850848316"/>
        <n v="0.4888579387186629"/>
        <n v="0.37705748290706503"/>
        <n v="0.5017726006583946"/>
        <n v="0.11344644213724991"/>
        <n v="0.2977969106102811"/>
        <n v="0.5098759179539124"/>
        <n v="0.04418840212712079"/>
        <n v="0.1915674854393517"/>
        <n v="0.14054190934413774"/>
        <n v="0.12192960243099517"/>
        <n v="0.4216257280324133"/>
        <n v="0.4950620410230438"/>
        <n v="0.4078247657634844"/>
        <n v="0.8650291212965309"/>
        <n v="0.24905039250443148"/>
        <n v="0.1128133704735376"/>
        <n v="0.15117751329450493"/>
        <n v="0.12914661939731575"/>
        <n v="0.03646492782983033"/>
        <n v="0.5122815902760193"/>
        <n v="0.004684730311471257"/>
        <n v="0.13876930868574322"/>
        <n v="0.013674347936186373"/>
        <n v="0.43985819194732845"/>
        <n v="0.4409977209420107"/>
        <n v="0.2704482147379083"/>
        <n v="0.18473031147125854"/>
        <n v="0.020638136237022032"/>
        <n v="0.12268928842744997"/>
        <n v="0.015067105596353509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3"/>
        <n v="0.701696632058749"/>
        <n v="0.5959736642187895"/>
        <n v="0.1252215750822993"/>
        <n v="0.3636363636363636"/>
        <n v="0.26399088376804253"/>
        <n v="0.25525449480881235"/>
        <n v="0.12319574575841984"/>
        <n v="0.44264370726766267"/>
        <n v="0.7755127880476069"/>
        <n v="0.39731577614585967"/>
        <n v="0.44618890858445176"/>
        <n v="0.6131932134717649"/>
        <n v="0.29982273993416053"/>
        <n v="0.4775892631045835"/>
        <n v="0.7585464674601164"/>
        <n v="0.3275512788047607"/>
        <n v="0.6563687009369461"/>
        <n v="0.20650797670296275"/>
        <n v="0.5037984299822741"/>
        <n v="0.16219296024309948"/>
        <n v="0.43466700430488736"/>
        <n v="0.16244618890858445"/>
        <n v="0.007976702962775384"/>
        <n v="0.38414788554064316"/>
        <n v="0.4845530514054191"/>
        <n v="0.016206634591035704"/>
        <n v="0.3987085338060268"/>
        <n v="0.39478348949101033"/>
        <n v="0.1526968852874145"/>
        <n v="0.07419599898708534"/>
        <n v="0.16269941757406936"/>
        <n v="0.17346163585717903"/>
        <n v="0.15143074195998985"/>
        <n v="0.14358065332995695"/>
        <n v="0.20992656368700935"/>
        <n v="0.8272980501392758"/>
        <n v="0.4930362116991644"/>
        <n v="0.11673841478855404"/>
        <n v="0.4163079260572297"/>
        <n v="0.1248417320840719"/>
        <n v="0.42669030134211194"/>
        <n v="0.14345403899721448"/>
        <n v="0.01949860724233983"/>
        <n v="0.21676373765510257"/>
        <n v="0.34882248670549504"/>
        <n v="0.6273740187389213"/>
        <n v="0.20498860471005315"/>
        <n v="0.17523423651557354"/>
        <n v="0.024689794884780954"/>
        <n v="0.18308432514560646"/>
        <n v="0.15332995695112686"/>
        <n v="0.02380349455558369"/>
        <n v="0.5359584704988605"/>
        <n v="0.022284122562674095"/>
        <n v="0.16282603190681183"/>
        <n v="0.14649278298303364"/>
        <n v="0.6913142567738668"/>
        <n v="0.4539123828817422"/>
        <n v="0.48100785008863"/>
        <n v="0.27715877437325903"/>
        <n v="0.18169156748543933"/>
        <n v="0.13028614839199795"/>
        <n v="0.24993669283362874"/>
        <n v="0.8057736135730564"/>
        <n v="0.13357812104330208"/>
        <n v="0.3730058242593061"/>
        <n v="0.05115219042795644"/>
        <n v="0.11218029880982526"/>
        <n v="0.3612306913142567"/>
        <n v="0.44517599392251206"/>
        <n v="0.1678906052165105"/>
        <n v="0.19068118511015444"/>
        <n v="0.22271461129399847"/>
        <n v="0.5007596859964548"/>
        <n v="0.3200810331729551"/>
        <n v="0.20410230438085591"/>
        <n v="0.029880982527222086"/>
        <n v="0.360217776652317"/>
        <n v="0.046847303114712587"/>
        <n v="0.5553304634084578"/>
        <n v="0.3617371486452266"/>
        <n v="0.03899721448467967"/>
        <n v="0.3308432514560648"/>
        <n v="0.11192707014434033"/>
        <n v="0.8483160293745251"/>
        <n v="0.13066599139022536"/>
        <n v="0.5696378830083565"/>
        <n v="0.38908584451759937"/>
        <n v="0.26031906811851097"/>
        <n v="0.1610534312484173"/>
        <n v="0.724233983286908"/>
        <n v="0.023930108888326158"/>
        <n v="0.15105089896176246"/>
        <n v="0.5897695619144088"/>
        <n v="0.11724487211952392"/>
        <n v="0.19587237275259556"/>
        <n v="0.4187135983793365"/>
        <n v="0.318688275512788"/>
        <n v="0.5783742719675867"/>
        <n v="0.7834894910103823"/>
        <n v="0.39364396049632816"/>
        <n v="0.2075208913649025"/>
        <n v="0.22625981261078754"/>
        <n v="0.8998480628007091"/>
        <n v="0.7989364396049633"/>
        <n v="0.33641428209673335"/>
        <n v="0.18460369713851607"/>
        <n v="0.36072423398328685"/>
        <n v="0.23335021524436564"/>
        <n v="0.02924791086350974"/>
        <n v="0.13636363636363635"/>
        <n v="0.1391491516839706"/>
        <n v="0.7368954165611548"/>
        <n v="0.35603950367181564"/>
        <n v="0.6250949607495568"/>
        <n v="0.2600658394530261"/>
        <n v="0.35717903266649786"/>
        <n v="0.7409470752089137"/>
        <n v="0.03494555583692074"/>
        <n v="0.25892631045834386"/>
        <n v="0.23474297290453278"/>
        <n v="0.23081792858951633"/>
        <n v="0.1663712332236009"/>
        <n v="0.21992909597366422"/>
        <n v="0.4882248670549506"/>
        <n v="0.5943276778931376"/>
        <n v="0.17080273486958722"/>
        <n v="0.3066599139022537"/>
        <n v="0.33008356545961004"/>
        <n v="0.32248670549506203"/>
        <n v="0.12420866042035957"/>
        <n v="0.34198531273740185"/>
        <n v="0.335781210433021"/>
        <n v="0.4209926563687009"/>
        <n v="0.39680931881488984"/>
        <n v="0.5067105596353507"/>
        <n v="0.9290959736642188"/>
        <n v="0.15649531526968852"/>
        <n v="0.771714358065333"/>
        <n v="0.016586477589263102"/>
        <n v="0.5863509749303621"/>
        <n v="0.8083059002279058"/>
        <n v="0.12648771840972395"/>
        <n v="0.42846290200050646"/>
        <n v="0.23968093188148898"/>
        <n v="0.31438338819954414"/>
        <n v="0.34502405672322106"/>
        <n v="0.38364142820967334"/>
        <n v="0.18511015446948592"/>
        <n v="0.6381362370220309"/>
        <n v="0.11015446948594579"/>
        <n v="0.43757913395796405"/>
        <n v="0.7175234236515573"/>
        <n v="0.6656115472271461"/>
        <n v="0.021017979235249427"/>
        <n v="0.37958976956191437"/>
        <n v="0.11357305646999238"/>
        <n v="0.13788300835654593"/>
        <n v="0.3816155988857939"/>
        <n v="0.328184350468473"/>
        <n v="0.24550519118764244"/>
        <n v="0.8557862750063308"/>
        <n v="0.3626234489744239"/>
        <n v="0.41757406938465436"/>
        <n v="0.2848822486705495"/>
        <n v="0.6420612813370473"/>
        <n v="0.2672828564193466"/>
        <n v="0.2328437579133958"/>
        <n v="0.17257533552798174"/>
        <n v="0.038617371486452265"/>
        <n v="0.39427703216004045"/>
        <n v="0.07343631299063054"/>
        <n v="0.512788047606989"/>
        <n v="0.3957964041529501"/>
        <n v="0.34641681438338817"/>
        <n v="0.6697898202076475"/>
        <n v="0.8926310458343885"/>
        <n v="0.2085338060268422"/>
        <n v="0.5440617877943784"/>
        <n v="0.171562420866042"/>
        <n v="8.863003291972658E-4"/>
        <n v="0.011268675614079512"/>
        <n v="0.14155482400607747"/>
        <n v="0.4839199797417068"/>
        <n v="0.025576095213978217"/>
        <n v="0.3131172448721195"/>
        <n v="0.5351987845024057"/>
        <n v="7.596859964547993E-4"/>
        <n v="0.416940997720942"/>
        <n v="0.3462902000506457"/>
        <n v="0.1463661686502912"/>
        <n v="0.04431501645986326"/>
        <n v="0.671815649531527"/>
        <n v="0.21790326664978477"/>
        <n v="0.2437325905292479"/>
        <n v="0.17915928083059"/>
        <n v="0.4943023550265891"/>
        <n v="0.6592808305900227"/>
        <n v="0.3352747531020511"/>
        <n v="0.5524183337553811"/>
        <n v="0.31425677386680173"/>
        <n v="0.04988604710053178"/>
        <n v="0.3856672575335528"/>
        <n v="0.8005824259306153"/>
        <n v="0.15003798429982274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26"/>
        <n v="0.688655355786275"/>
        <n v="0.18498354013674345"/>
        <n v="0.23043808559128892"/>
        <n v="0.1629526462395543"/>
        <n v="0.3050139275766017"/>
        <n v="0.5763484426437073"/>
        <n v="0.6048366675107623"/>
        <n v="0.8952899468219803"/>
        <n v="0.14307419599898707"/>
        <n v="0.01633324892377817"/>
        <n v="0.1229425170929349"/>
        <n v="0.14611293998480626"/>
        <n v="0.1040769815143074"/>
        <n v="0.24120030387439859"/>
        <n v="0.7247404406178779"/>
        <n v="0.10116485186123068"/>
        <n v="0.6356039503671815"/>
        <n v="0.038743985819194734"/>
        <n v="0.45378576854899977"/>
        <n v="0.38338819954418835"/>
        <n v="0.3921245885034186"/>
        <n v="0.5262091668776906"/>
        <n v="0.04102304380855913"/>
        <n v="0.2628513547733603"/>
        <n v="0.19093441377563938"/>
        <n v="0.9703722461382628"/>
        <n v="0.03038743985819195"/>
        <n v="0.2769055457077741"/>
        <n v="0.6818181818181818"/>
        <n v="0.02912129653076728"/>
        <n v="0.18131172448721192"/>
        <n v="0.052038490757153714"/>
        <n v="0.47974170676120537"/>
        <n v="0.26082552544948084"/>
        <n v="0.019371992909597367"/>
        <n v="0.05064573309698658"/>
        <n v="0.42175234236515574"/>
        <n v="0.4199797417067612"/>
        <n v="0.15890098759179536"/>
        <n v="0.038110914155482394"/>
        <n v="0.18080526715624207"/>
        <n v="0.9494808812357559"/>
        <n v="0.4364396049632819"/>
        <n v="0.11496581413015954"/>
        <n v="0.7042289187135984"/>
        <n v="0.0016459863256520623"/>
        <n v="0.40997720942010635"/>
        <n v="0.44973410990124085"/>
        <n v="0.14231451000253226"/>
        <n v="0.21157255001266143"/>
        <n v="0.40820460876171183"/>
        <n v="0.1923271714358065"/>
        <n v="0.42390478602177767"/>
        <n v="0.5804001012914662"/>
        <n v="0.3803494555583692"/>
        <n v="0.156621929602431"/>
        <n v="0.269561914408711"/>
        <n v="0.34831602937452516"/>
        <n v="0.1818181818181818"/>
        <n v="0.21068624968346417"/>
        <n v="0.21524436566219296"/>
        <n v="0.26626994175740687"/>
        <n v="0.9098505950873639"/>
        <n v="0.4499873385667258"/>
        <n v="0.13712332236009114"/>
        <n v="0.3752848822486705"/>
        <n v="0.006077487971638389"/>
        <n v="0.6629526462395543"/>
        <n v="0.3466700430488731"/>
        <n v="0.17105596353507216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4"/>
        <n v="0.4753102051152191"/>
        <n v="0.492656368700937"/>
        <n v="0.19815143074195996"/>
        <n v="0.34907571537098"/>
        <n v="0.7027095467206887"/>
        <n v="0.3562927323373006"/>
        <n v="0.026715624208660423"/>
        <n v="0.3838946568751582"/>
        <n v="0.7537351228159027"/>
        <n v="0.7836161053431248"/>
        <n v="0.5177260065839453"/>
        <n v="0.12395543175487464"/>
        <n v="0.44808812357558875"/>
        <n v="0.20574829070650796"/>
        <n v="0.5078500886300329"/>
        <n v="0.014307419599898709"/>
        <n v="0.30020258293238794"/>
        <n v="0.17358825018992147"/>
        <n v="0.42289187135983797"/>
        <n v="0.18586984046594074"/>
        <n v="0.17434793618637628"/>
        <n v="0.6020511521904279"/>
        <n v="0.1316789060521651"/>
        <n v="0.7298050139275766"/>
        <n v="0.16345910357052418"/>
        <n v="0.4160546973917447"/>
        <n v="0.19080779944289694"/>
        <n v="0.4729045327931122"/>
        <n v="0.2623448974423904"/>
        <n v="0.2142314510002532"/>
        <n v="0.6771334515067106"/>
        <n v="0.8599645479868321"/>
        <n v="0.016080020258293234"/>
        <n v="0.006837173968093188"/>
        <n v="0.17599392251202833"/>
        <n v="0.21030640668523676"/>
        <n v="0.17460116485186122"/>
        <n v="0.5044315016459864"/>
        <n v="0.8308432514560649"/>
        <n v="0.18283109648012152"/>
        <n v="0.4183337553811092"/>
        <n v="0.014560648265383643"/>
        <n v="0.7923524943023551"/>
        <n v="0.02190427956444669"/>
        <n v="0.39566978982020756"/>
        <n v="0.11825778678146365"/>
        <n v="0.30754621423145095"/>
        <n v="0.017726006583945304"/>
        <n v="0.9402380349455558"/>
        <n v="0.020764750569764494"/>
        <n v="0.1919473284375791"/>
        <n v="0.1323119777158774"/>
        <n v="0.4427703216004052"/>
        <n v="0.01747277791846037"/>
        <n v="0.6125601418080526"/>
        <n v="0.1561154722714611"/>
        <n v="0.16535831856166117"/>
        <n v="0.13851608002025828"/>
        <n v="0.022157508229931625"/>
        <n v="0.6477589263104584"/>
        <n v="0.035958470498860466"/>
        <n v="0.7360091162319574"/>
        <n v="0.41212965307672833"/>
        <n v="0.11509242846290199"/>
        <n v="0.035198784502405676"/>
        <n v="0.14877184097239807"/>
        <n v="0.4615092428462902"/>
        <n v="0.14699924031400352"/>
        <n v="0.24791086350974928"/>
        <n v="0.08445175993922512"/>
        <n v="0.1583945302608255"/>
        <n v="0.18713598379336538"/>
        <n v="0.13370473537604455"/>
        <n v="0.7636110407698151"/>
        <n v="0.3844011142061281"/>
        <n v="0.43061534565712845"/>
        <n v="0.8461635857179032"/>
        <n v="0.09584704988604709"/>
        <n v="0.12129653076728285"/>
        <n v="0.4618890858445176"/>
        <n v="0.15966067358825017"/>
        <n v="0.2071410483666751"/>
        <n v="0.4054190934413776"/>
        <n v="0.12306913142567737"/>
        <n v="0.9556849835401368"/>
        <n v="0.5688781970119017"/>
        <n v="0.18700936946062294"/>
        <n v="0.2705748290706508"/>
        <n v="0.3542669030134211"/>
        <n v="0.1595340592555077"/>
        <n v="0.18321093947834893"/>
        <n v="0.5992656368700937"/>
        <n v="0.8176753608508482"/>
        <n v="0.44226386426943526"/>
        <n v="0.43631299063053935"/>
        <n v="0.8638895923018486"/>
        <n v="0.22018232463914914"/>
        <n v="0.6533299569511268"/>
        <n v="0.11800455811597871"/>
        <n v="0.28323626234489746"/>
        <n v="0.9068118511015447"/>
        <n v="0.21499113699670802"/>
        <n v="0.12142314510002532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56"/>
        <n v="0.4446695365915422"/>
        <n v="0.00848316029374525"/>
        <n v="0.4670802734869587"/>
        <n v="0.9237781716890352"/>
        <n v="0.24347936186376298"/>
        <n v="0.41808052671562423"/>
        <n v="0.3440111420612813"/>
        <n v="0.40769815143074195"/>
        <n v="0.6458597113193214"/>
        <n v="0.35439351734616353"/>
        <n v="0.42111927070144345"/>
        <n v="0.8121043302101798"/>
        <n v="0.47252468979488477"/>
        <n v="0.41250949607495574"/>
        <n v="0.3375538110914155"/>
        <n v="0.13129906305393768"/>
        <n v="0.39630286148391997"/>
        <n v="0.47315776145859717"/>
        <n v="0.2153709799949354"/>
        <n v="0.13471765003798428"/>
        <n v="0.6925804001012915"/>
        <n v="0.1591542162572803"/>
        <n v="0.21245885034185866"/>
        <n v="0.7100531780197519"/>
        <n v="0.03317295517852621"/>
        <n v="0.42770321600405165"/>
        <n v="0.326285135477336"/>
        <n v="0.021397822233476832"/>
        <n v="0.6942263864269436"/>
        <n v="0.18688275512788044"/>
        <n v="0.5407698151430742"/>
        <n v="0.39465687515826786"/>
        <n v="0.3007090402633578"/>
        <n v="0.407444922765257"/>
        <n v="0.5354520131678907"/>
        <n v="0.4613826285135478"/>
        <n v="0.41415548240060773"/>
        <n v="0.3828817422132185"/>
        <n v="0.1795391238288174"/>
        <n v="0.1973917447455052"/>
        <n v="0.47480374778424916"/>
        <n v="0.16333248923778168"/>
        <n v="0.19637883008356544"/>
        <n v="0.6892884274499874"/>
        <n v="0.8527475310205116"/>
        <n v="0.4786021777665232"/>
        <n v="0.32565206381362366"/>
        <n v="0.5012661433274247"/>
        <n v="0.18207141048366673"/>
        <n v="0.18726259812610785"/>
        <n v="0.4763231197771588"/>
        <n v="0.1328184350468473"/>
        <n v="0.6645986325652063"/>
        <n v="0.034818941504178275"/>
        <n v="0.6492782983033679"/>
        <n v="0.4049126361104077"/>
        <n v="0.38933907318308425"/>
        <n v="0.11787794378323624"/>
        <n v="0.8428716130665992"/>
        <n v="0.12813370473537603"/>
        <n v="0.6375031653583185"/>
        <n v="0.13509749303621169"/>
        <n v="0.3746518105849582"/>
        <n v="0.3475563433780704"/>
        <n v="0.1659913902253735"/>
        <n v="0.011395289946821981"/>
        <n v="0.4808812357558876"/>
        <n v="0.25386173714864524"/>
        <n v="0.6080020258293238"/>
        <n v="0.1724487211952393"/>
        <n v="0.39351734616358575"/>
        <n v="0.1802988098252722"/>
        <n v="0.8676880222841226"/>
        <n v="0.16940997720942008"/>
        <n v="0.30729298556596607"/>
        <n v="0.42643707267662695"/>
        <n v="0.16396556090149403"/>
        <n v="0.5801468726259812"/>
        <n v="0.9199797417067611"/>
        <n v="0.18435046847303113"/>
        <n v="0.948467966573816"/>
        <n v="0.6538364142820967"/>
        <n v="0.352620916687769"/>
        <n v="0.04570777412003039"/>
        <n v="0.3870600151937199"/>
        <n v="0.23018485692580398"/>
        <n v="0.12686756140795136"/>
        <n v="0.15510255760952138"/>
        <n v="0.3727525955938212"/>
        <n v="0.21967586730817926"/>
        <n v="0.1343378070397569"/>
        <n v="0.23069131425677383"/>
        <n v="0.24094707520891362"/>
        <n v="0.29994935426690295"/>
        <n v="0.4841732084071917"/>
        <n v="0.19941757406938465"/>
        <n v="0.1640921752342365"/>
        <n v="0.16320587490503924"/>
        <n v="0.19929095973664215"/>
        <n v="0.14472018232463915"/>
        <n v="0.4259306153456571"/>
        <n v="0.7837427196758674"/>
        <n v="0.21714358065332992"/>
        <n v="0.3321093947834895"/>
        <n v="0.22765257027095467"/>
        <n v="0.3845277285388706"/>
        <n v="0.04950620410230438"/>
        <n v="0.02266396556090149"/>
        <n v="0.281210433021018"/>
        <n v="0.23423651557356293"/>
        <n v="0.5687515826791593"/>
        <n v="0.6407951380096226"/>
        <n v="0.216890351987845"/>
        <n v="0.5373512281590276"/>
        <n v="0.3637629779691061"/>
        <n v="0.30488731324385915"/>
        <n v="0.16307926057229677"/>
        <n v="0.44340339326411754"/>
        <n v="0.02544948088123575"/>
        <n v="0.8046340845783742"/>
        <n v="0.37920992656368696"/>
        <n v="0.1980248164092175"/>
        <n v="0.37148645226639654"/>
        <n v="0.00810331729551785"/>
        <n v="0.15193719929095972"/>
        <n v="0.45479868321093947"/>
        <n v="0.24423904786021775"/>
        <n v="0.19106102810838185"/>
        <n v="0.35363383134970877"/>
        <n v="0.954672068878197"/>
        <n v="0.535831856166118"/>
        <n v="0.37427196758673076"/>
        <n v="0.4978475563433781"/>
        <n v="0.1354773360344391"/>
        <n v="0.3099518865535579"/>
        <n v="0.17637376551025574"/>
        <n v="0.25664725246897946"/>
        <n v="0.1667510762218283"/>
        <n v="0.9897442390478602"/>
        <n v="0.25614079513800964"/>
        <n v="0.33337553811091414"/>
        <n v="0.6644720182324639"/>
        <n v="0.3399594834135224"/>
        <n v="0.3779437832362623"/>
        <n v="0.5267156242086604"/>
        <n v="0.8552798176753608"/>
        <n v="0.11420612813370472"/>
        <n v="0.7346163585717903"/>
        <n v="0.16080020258293237"/>
        <n v="0.38186882755127877"/>
        <n v="0.3298303367941251"/>
        <n v="0.2991896682704482"/>
        <n v="0.1697898202076475"/>
        <n v="0.32058749050392504"/>
        <n v="0.3043808559128893"/>
        <n v="0.6519371992909597"/>
        <n v="0.31286401620663457"/>
        <n v="0.13307166371233223"/>
        <n v="0.15092428462902"/>
        <n v="0.32780450747024564"/>
        <n v="0.1765003798429982"/>
        <n v="0.1309192200557103"/>
        <n v="0.16231957457584195"/>
        <n v="0.42947581666244616"/>
        <n v="0.6045834388452772"/>
        <n v="0.32742466447201823"/>
        <n v="0.10331729551785261"/>
        <n v="0.16155988857938716"/>
        <n v="0.26437072676626994"/>
        <n v="0.1892884274499873"/>
        <n v="0.3190681185110154"/>
        <n v="0.39756900481134466"/>
        <n v="0.12750063307166368"/>
        <n v="0.9466953659154216"/>
        <n v="0.5538110914155482"/>
        <n v="0.27247404406178777"/>
        <n v="0.33818688275512787"/>
        <n v="0.3178019751835907"/>
        <n v="0.28070397569004807"/>
        <n v="0.15598885793871864"/>
        <n v="0.050265890098759175"/>
        <n v="0.37477842491770064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3"/>
        <n v="0.2938718662952646"/>
        <n v="0.865915421625728"/>
        <n v="0.2052418333755381"/>
        <n v="0.1701696632058749"/>
        <n v="0.21613066599139022"/>
        <n v="0.481261078754115"/>
        <n v="0.5383641428209673"/>
        <n v="0.47708280577361356"/>
        <n v="0.45403899721448465"/>
        <n v="0.42567738668017224"/>
        <n v="0.7823499620157002"/>
        <n v="0.8022284122562674"/>
        <n v="0.13737655102557608"/>
        <n v="0.3069131425677386"/>
        <n v="0.14585971131932132"/>
        <n v="0.44884780957204357"/>
        <n v="0.35097493036211697"/>
        <n v="0.3346416814383388"/>
        <n v="0.8418586984046594"/>
        <n v="0.8784502405672323"/>
        <n v="0.45138009622689296"/>
        <n v="0.21701696632058748"/>
        <n v="0.5115219042795645"/>
        <n v="0.2433527475310204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liente_lucro_prejuizo" cacheId="0" dataCaption="" compact="0" compactData="0">
  <location ref="A1:E10" firstHeaderRow="0" firstDataRow="2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Row" compact="0" outline="0" multipleItemSelectionAllowed="1" showAll="0" sortType="ascending">
      <items>
        <item h="1" x="23"/>
        <item h="1" x="95"/>
        <item h="1" x="91"/>
        <item h="1" x="17"/>
        <item h="1" x="76"/>
        <item h="1" x="82"/>
        <item h="1" x="84"/>
        <item h="1" x="22"/>
        <item h="1" x="64"/>
        <item h="1" x="3"/>
        <item h="1" x="53"/>
        <item h="1" x="96"/>
        <item h="1" x="39"/>
        <item h="1" x="37"/>
        <item h="1" x="55"/>
        <item h="1" x="25"/>
        <item h="1" x="92"/>
        <item h="1" x="66"/>
        <item h="1" x="2"/>
        <item h="1" x="72"/>
        <item h="1" x="51"/>
        <item h="1" x="7"/>
        <item h="1" x="18"/>
        <item h="1" x="68"/>
        <item h="1" x="57"/>
        <item h="1" x="85"/>
        <item h="1" x="45"/>
        <item h="1" x="48"/>
        <item h="1" x="20"/>
        <item h="1" x="8"/>
        <item h="1" x="52"/>
        <item h="1" x="47"/>
        <item h="1" x="41"/>
        <item h="1" x="60"/>
        <item h="1" x="44"/>
        <item h="1" x="49"/>
        <item h="1" x="75"/>
        <item h="1" x="78"/>
        <item h="1" x="81"/>
        <item h="1" x="1"/>
        <item h="1" x="31"/>
        <item x="65"/>
        <item h="1" x="59"/>
        <item h="1" x="79"/>
        <item h="1" x="94"/>
        <item h="1" x="97"/>
        <item h="1" x="67"/>
        <item h="1" x="58"/>
        <item h="1" x="77"/>
        <item h="1" x="9"/>
        <item h="1" x="38"/>
        <item h="1" x="89"/>
        <item h="1" x="16"/>
        <item h="1" x="69"/>
        <item h="1" x="93"/>
        <item h="1" x="15"/>
        <item h="1" x="33"/>
        <item h="1" x="34"/>
        <item h="1" x="74"/>
        <item h="1" x="21"/>
        <item h="1" x="32"/>
        <item h="1" x="0"/>
        <item h="1" x="56"/>
        <item h="1" x="90"/>
        <item h="1" x="43"/>
        <item h="1" x="24"/>
        <item h="1" x="11"/>
        <item h="1" x="35"/>
        <item h="1" x="71"/>
        <item h="1" x="30"/>
        <item h="1" x="83"/>
        <item h="1" x="6"/>
        <item h="1" x="63"/>
        <item h="1" x="61"/>
        <item h="1" x="88"/>
        <item h="1" x="19"/>
        <item h="1" x="36"/>
        <item h="1" x="28"/>
        <item h="1" x="10"/>
        <item h="1" x="87"/>
        <item h="1" x="27"/>
        <item h="1" x="80"/>
        <item h="1" x="46"/>
        <item h="1" x="50"/>
        <item h="1" x="14"/>
        <item h="1" x="86"/>
        <item h="1" x="12"/>
        <item h="1" x="42"/>
        <item h="1" x="13"/>
        <item h="1" x="54"/>
        <item h="1" x="62"/>
        <item h="1" x="99"/>
        <item h="1" x="40"/>
        <item h="1" x="26"/>
        <item h="1" x="73"/>
        <item h="1" x="29"/>
        <item h="1" x="70"/>
        <item h="1" x="4"/>
        <item h="1" x="5"/>
        <item h="1" x="98"/>
        <item t="default"/>
      </items>
    </pivotField>
    <pivotField name="Operação" axis="axisCol" compact="0" numFmtId="49" outline="0" multipleItemSelectionAllowed="1" showAll="0" sortType="ascending">
      <items>
        <item x="0"/>
        <item x="1"/>
        <item t="default"/>
      </items>
    </pivotField>
    <pivotField name="Ticker" axis="axisRow" compact="0" numFmtId="49" outline="0" multipleItemSelectionAllowed="1" showAll="0" sortType="ascending">
      <items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2"/>
    <field x="4"/>
  </rowFields>
  <colFields>
    <field x="3"/>
  </colFields>
  <dataFields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0" dataCaption="" compact="0" compactData="0">
  <location ref="A1:G90" firstHeaderRow="0" firstDataRow="2" firstDataCol="1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>
      <items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Col" dataField="1" compact="0" numFmtId="49" outline="0" multipleItemSelectionAllowed="1" showAll="0" sortType="ascending">
      <items>
        <item x="0"/>
        <item x="1"/>
        <item t="default"/>
      </items>
    </pivotField>
    <pivotField name="Tick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1"/>
  </rowFields>
  <colFields>
    <field x="3"/>
    <field x="-2"/>
  </colFields>
  <dataFields>
    <dataField name="Preco" fld="5" baseField="0"/>
    <dataField name="Operacao" fld="3" subtotal="count" baseField="0"/>
  </dataFields>
</pivotTableDefinition>
</file>

<file path=xl/pivotTables/pivotTable3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numFmtId="49" outline="0" multipleItemSelectionAllowed="1" showAll="0" sortType="ascending">
      <items>
        <item x="0"/>
        <item x="1"/>
        <item t="default"/>
      </items>
    </pivotField>
    <pivotField name="Ticke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Mês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Ano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Normaliz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3"/>
  </rowFields>
  <colFields>
    <field x="-2"/>
  </colFields>
  <dataFields>
    <dataField name="SUM of Preco" fld="5" baseField="0"/>
    <dataField name="COUNTA of Operação" fld="3" subtotal="count" baseField="0"/>
  </dataFields>
</pivotTableDefinition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8T10:20:57.00" personId="{aefabb70-a1b1-439d-b5ad-2e938f48ebe5}" id="{23a16e06-4e02-418f-a7b8-32078599a2f3}" done="0">
    <x18tc:text xml:space="preserve">O luco nesse intervalo foi:
R$ 123,58 - R$ 115,93 = R$ 7,65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2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mailto:gabriela.pereira87@exemplo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6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7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luis.lima28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lara.costa91@exemplo.com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2.25"/>
  </cols>
  <sheetData>
    <row r="1"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</row>
    <row r="2"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</row>
    <row r="3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</row>
    <row r="4"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</row>
    <row r="5"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</row>
    <row r="6"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</row>
    <row r="7"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</row>
    <row r="8"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</row>
    <row r="9"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</row>
    <row r="10"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  <c r="CO1002" s="34"/>
      <c r="CP1002" s="34"/>
      <c r="CQ1002" s="34"/>
      <c r="CR1002" s="34"/>
      <c r="CS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  <c r="CO1003" s="34"/>
      <c r="CP1003" s="34"/>
      <c r="CQ1003" s="34"/>
      <c r="CR1003" s="34"/>
      <c r="CS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  <c r="CO1004" s="34"/>
      <c r="CP1004" s="34"/>
      <c r="CQ1004" s="34"/>
      <c r="CR1004" s="34"/>
      <c r="CS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  <c r="CO1005" s="34"/>
      <c r="CP1005" s="34"/>
      <c r="CQ1005" s="34"/>
      <c r="CR1005" s="34"/>
      <c r="CS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  <c r="CO1006" s="34"/>
      <c r="CP1006" s="34"/>
      <c r="CQ1006" s="34"/>
      <c r="CR1006" s="34"/>
      <c r="CS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  <c r="CO1007" s="34"/>
      <c r="CP1007" s="34"/>
      <c r="CQ1007" s="34"/>
      <c r="CR1007" s="34"/>
      <c r="CS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  <c r="CO1008" s="34"/>
      <c r="CP1008" s="34"/>
      <c r="CQ1008" s="34"/>
      <c r="CR1008" s="34"/>
      <c r="CS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  <c r="CO1009" s="34"/>
      <c r="CP1009" s="34"/>
      <c r="CQ1009" s="34"/>
      <c r="CR1009" s="34"/>
      <c r="CS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  <c r="CO1010" s="34"/>
      <c r="CP1010" s="34"/>
      <c r="CQ1010" s="34"/>
      <c r="CR1010" s="34"/>
      <c r="CS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  <c r="CO1011" s="34"/>
      <c r="CP1011" s="34"/>
      <c r="CQ1011" s="34"/>
      <c r="CR1011" s="34"/>
      <c r="CS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  <c r="CO1012" s="34"/>
      <c r="CP1012" s="34"/>
      <c r="CQ1012" s="34"/>
      <c r="CR1012" s="34"/>
      <c r="CS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  <c r="CO1013" s="34"/>
      <c r="CP1013" s="34"/>
      <c r="CQ1013" s="34"/>
      <c r="CR1013" s="34"/>
      <c r="CS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  <c r="CO1014" s="34"/>
      <c r="CP1014" s="34"/>
      <c r="CQ1014" s="34"/>
      <c r="CR1014" s="34"/>
      <c r="CS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  <c r="CO1015" s="34"/>
      <c r="CP1015" s="34"/>
      <c r="CQ1015" s="34"/>
      <c r="CR1015" s="34"/>
      <c r="CS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  <c r="CO1016" s="34"/>
      <c r="CP1016" s="34"/>
      <c r="CQ1016" s="34"/>
      <c r="CR1016" s="34"/>
      <c r="CS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  <c r="CO1017" s="34"/>
      <c r="CP1017" s="34"/>
      <c r="CQ1017" s="34"/>
      <c r="CR1017" s="34"/>
      <c r="CS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  <c r="CO1018" s="34"/>
      <c r="CP1018" s="34"/>
      <c r="CQ1018" s="34"/>
      <c r="CR1018" s="34"/>
      <c r="CS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  <c r="CO1019" s="34"/>
      <c r="CP1019" s="34"/>
      <c r="CQ1019" s="34"/>
      <c r="CR1019" s="34"/>
      <c r="CS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  <c r="CO1020" s="34"/>
      <c r="CP1020" s="34"/>
      <c r="CQ1020" s="34"/>
      <c r="CR1020" s="34"/>
      <c r="CS1020" s="34"/>
    </row>
    <row r="1021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  <c r="CO1021" s="34"/>
      <c r="CP1021" s="34"/>
      <c r="CQ1021" s="34"/>
      <c r="CR1021" s="34"/>
      <c r="CS1021" s="34"/>
    </row>
    <row r="1022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  <c r="CO1022" s="34"/>
      <c r="CP1022" s="34"/>
      <c r="CQ1022" s="34"/>
      <c r="CR1022" s="34"/>
      <c r="CS1022" s="34"/>
    </row>
    <row r="1023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  <c r="CO1023" s="34"/>
      <c r="CP1023" s="34"/>
      <c r="CQ1023" s="34"/>
      <c r="CR1023" s="34"/>
      <c r="CS1023" s="34"/>
    </row>
    <row r="1024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  <c r="CO1024" s="34"/>
      <c r="CP1024" s="34"/>
      <c r="CQ1024" s="34"/>
      <c r="CR1024" s="34"/>
      <c r="CS1024" s="34"/>
    </row>
    <row r="10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  <c r="CO1025" s="34"/>
      <c r="CP1025" s="34"/>
      <c r="CQ1025" s="34"/>
      <c r="CR1025" s="34"/>
      <c r="CS1025" s="34"/>
    </row>
    <row r="1026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  <c r="CO1026" s="34"/>
      <c r="CP1026" s="34"/>
      <c r="CQ1026" s="34"/>
      <c r="CR1026" s="34"/>
      <c r="CS1026" s="34"/>
    </row>
    <row r="1027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  <c r="CO1027" s="34"/>
      <c r="CP1027" s="34"/>
      <c r="CQ1027" s="34"/>
      <c r="CR1027" s="34"/>
      <c r="CS1027" s="34"/>
    </row>
    <row r="1028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  <c r="CO1028" s="34"/>
      <c r="CP1028" s="34"/>
      <c r="CQ1028" s="34"/>
      <c r="CR1028" s="34"/>
      <c r="CS1028" s="34"/>
    </row>
    <row r="1029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  <c r="CO1029" s="34"/>
      <c r="CP1029" s="34"/>
      <c r="CQ1029" s="34"/>
      <c r="CR1029" s="34"/>
      <c r="CS1029" s="34"/>
    </row>
    <row r="1030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  <c r="CO1030" s="34"/>
      <c r="CP1030" s="34"/>
      <c r="CQ1030" s="34"/>
      <c r="CR1030" s="34"/>
      <c r="CS1030" s="34"/>
    </row>
    <row r="1031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  <c r="CO1031" s="34"/>
      <c r="CP1031" s="34"/>
      <c r="CQ1031" s="34"/>
      <c r="CR1031" s="34"/>
      <c r="CS1031" s="34"/>
    </row>
    <row r="1032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  <c r="CO1032" s="34"/>
      <c r="CP1032" s="34"/>
      <c r="CQ1032" s="34"/>
      <c r="CR1032" s="34"/>
      <c r="CS1032" s="34"/>
    </row>
    <row r="1033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  <c r="CO1033" s="34"/>
      <c r="CP1033" s="34"/>
      <c r="CQ1033" s="34"/>
      <c r="CR1033" s="34"/>
      <c r="CS1033" s="34"/>
    </row>
    <row r="1034">
      <c r="A1034" s="3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  <c r="CO1034" s="34"/>
      <c r="CP1034" s="34"/>
      <c r="CQ1034" s="34"/>
      <c r="CR1034" s="34"/>
      <c r="CS1034" s="34"/>
    </row>
    <row r="1035">
      <c r="A1035" s="3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  <c r="CO1035" s="34"/>
      <c r="CP1035" s="34"/>
      <c r="CQ1035" s="34"/>
      <c r="CR1035" s="34"/>
      <c r="CS1035" s="34"/>
    </row>
    <row r="1036">
      <c r="A1036" s="3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  <c r="CO1036" s="34"/>
      <c r="CP1036" s="34"/>
      <c r="CQ1036" s="34"/>
      <c r="CR1036" s="34"/>
      <c r="CS1036" s="34"/>
    </row>
    <row r="1037">
      <c r="A1037" s="3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  <c r="CO1037" s="34"/>
      <c r="CP1037" s="34"/>
      <c r="CQ1037" s="34"/>
      <c r="CR1037" s="34"/>
      <c r="CS1037" s="34"/>
    </row>
    <row r="1038">
      <c r="A1038" s="3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  <c r="CO1038" s="34"/>
      <c r="CP1038" s="34"/>
      <c r="CQ1038" s="34"/>
      <c r="CR1038" s="34"/>
      <c r="CS1038" s="34"/>
    </row>
    <row r="1039">
      <c r="A1039" s="3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  <c r="CO1039" s="34"/>
      <c r="CP1039" s="34"/>
      <c r="CQ1039" s="34"/>
      <c r="CR1039" s="34"/>
      <c r="CS1039" s="34"/>
    </row>
    <row r="1040">
      <c r="A1040" s="3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  <c r="CO1040" s="34"/>
      <c r="CP1040" s="34"/>
      <c r="CQ1040" s="34"/>
      <c r="CR1040" s="34"/>
      <c r="CS1040" s="34"/>
    </row>
    <row r="1041">
      <c r="A1041" s="3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  <c r="CO1041" s="34"/>
      <c r="CP1041" s="34"/>
      <c r="CQ1041" s="34"/>
      <c r="CR1041" s="34"/>
      <c r="CS1041" s="34"/>
    </row>
    <row r="1042">
      <c r="A1042" s="3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  <c r="CO1042" s="34"/>
      <c r="CP1042" s="34"/>
      <c r="CQ1042" s="34"/>
      <c r="CR1042" s="34"/>
      <c r="CS1042" s="34"/>
    </row>
    <row r="1043">
      <c r="A1043" s="3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  <c r="CO1043" s="34"/>
      <c r="CP1043" s="34"/>
      <c r="CQ1043" s="34"/>
      <c r="CR1043" s="34"/>
      <c r="CS1043" s="34"/>
    </row>
    <row r="1044">
      <c r="A1044" s="3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  <c r="CO1044" s="34"/>
      <c r="CP1044" s="34"/>
      <c r="CQ1044" s="34"/>
      <c r="CR1044" s="34"/>
      <c r="CS1044" s="34"/>
    </row>
    <row r="1045">
      <c r="A1045" s="3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  <c r="CO1045" s="34"/>
      <c r="CP1045" s="34"/>
      <c r="CQ1045" s="34"/>
      <c r="CR1045" s="34"/>
      <c r="CS1045" s="34"/>
    </row>
    <row r="1046">
      <c r="A1046" s="3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  <c r="CO1046" s="34"/>
      <c r="CP1046" s="34"/>
      <c r="CQ1046" s="34"/>
      <c r="CR1046" s="34"/>
      <c r="CS1046" s="34"/>
    </row>
    <row r="1047">
      <c r="A1047" s="3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  <c r="CO1047" s="34"/>
      <c r="CP1047" s="34"/>
      <c r="CQ1047" s="34"/>
      <c r="CR1047" s="34"/>
      <c r="CS1047" s="34"/>
    </row>
    <row r="1048">
      <c r="A1048" s="3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  <c r="CO1048" s="34"/>
      <c r="CP1048" s="34"/>
      <c r="CQ1048" s="34"/>
      <c r="CR1048" s="34"/>
      <c r="CS1048" s="34"/>
    </row>
    <row r="1049">
      <c r="A1049" s="3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  <c r="CO1049" s="34"/>
      <c r="CP1049" s="34"/>
      <c r="CQ1049" s="34"/>
      <c r="CR1049" s="34"/>
      <c r="CS1049" s="34"/>
    </row>
    <row r="1050">
      <c r="A1050" s="3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  <c r="CO1050" s="34"/>
      <c r="CP1050" s="34"/>
      <c r="CQ1050" s="34"/>
      <c r="CR1050" s="34"/>
      <c r="CS1050" s="34"/>
    </row>
    <row r="1051">
      <c r="A1051" s="3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  <c r="CO1051" s="34"/>
      <c r="CP1051" s="34"/>
      <c r="CQ1051" s="34"/>
      <c r="CR1051" s="34"/>
      <c r="CS1051" s="34"/>
    </row>
    <row r="1052">
      <c r="A1052" s="3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  <c r="CO1052" s="34"/>
      <c r="CP1052" s="34"/>
      <c r="CQ1052" s="34"/>
      <c r="CR1052" s="34"/>
      <c r="CS1052" s="34"/>
    </row>
    <row r="1053">
      <c r="A1053" s="3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  <c r="CO1053" s="34"/>
      <c r="CP1053" s="34"/>
      <c r="CQ1053" s="34"/>
      <c r="CR1053" s="34"/>
      <c r="CS1053" s="34"/>
    </row>
    <row r="1054">
      <c r="A1054" s="3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  <c r="CO1054" s="34"/>
      <c r="CP1054" s="34"/>
      <c r="CQ1054" s="34"/>
      <c r="CR1054" s="34"/>
      <c r="CS1054" s="34"/>
    </row>
    <row r="1055">
      <c r="A1055" s="3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  <c r="CO1055" s="34"/>
      <c r="CP1055" s="34"/>
      <c r="CQ1055" s="34"/>
      <c r="CR1055" s="34"/>
      <c r="CS1055" s="34"/>
    </row>
    <row r="1056">
      <c r="A1056" s="3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  <c r="CO1056" s="34"/>
      <c r="CP1056" s="34"/>
      <c r="CQ1056" s="34"/>
      <c r="CR1056" s="34"/>
      <c r="CS1056" s="34"/>
    </row>
    <row r="1057">
      <c r="A1057" s="3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  <c r="CO1057" s="34"/>
      <c r="CP1057" s="34"/>
      <c r="CQ1057" s="34"/>
      <c r="CR1057" s="34"/>
      <c r="CS1057" s="34"/>
    </row>
    <row r="1058">
      <c r="A1058" s="3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  <c r="CO1058" s="34"/>
      <c r="CP1058" s="34"/>
      <c r="CQ1058" s="34"/>
      <c r="CR1058" s="34"/>
      <c r="CS1058" s="34"/>
    </row>
    <row r="1059">
      <c r="A1059" s="3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  <c r="CO1059" s="34"/>
      <c r="CP1059" s="34"/>
      <c r="CQ1059" s="34"/>
      <c r="CR1059" s="34"/>
      <c r="CS1059" s="34"/>
    </row>
    <row r="1060">
      <c r="A1060" s="3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  <c r="CO1060" s="34"/>
      <c r="CP1060" s="34"/>
      <c r="CQ1060" s="34"/>
      <c r="CR1060" s="34"/>
      <c r="CS1060" s="34"/>
    </row>
    <row r="1061">
      <c r="A1061" s="3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  <c r="CO1061" s="34"/>
      <c r="CP1061" s="34"/>
      <c r="CQ1061" s="34"/>
      <c r="CR1061" s="34"/>
      <c r="CS1061" s="34"/>
    </row>
    <row r="1062">
      <c r="A1062" s="3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  <c r="CO1062" s="34"/>
      <c r="CP1062" s="34"/>
      <c r="CQ1062" s="34"/>
      <c r="CR1062" s="34"/>
      <c r="CS1062" s="34"/>
    </row>
    <row r="1063">
      <c r="A1063" s="3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  <c r="CO1063" s="34"/>
      <c r="CP1063" s="34"/>
      <c r="CQ1063" s="34"/>
      <c r="CR1063" s="34"/>
      <c r="CS1063" s="34"/>
    </row>
    <row r="1064">
      <c r="A1064" s="3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  <c r="CO1064" s="34"/>
      <c r="CP1064" s="34"/>
      <c r="CQ1064" s="34"/>
      <c r="CR1064" s="34"/>
      <c r="CS1064" s="34"/>
    </row>
    <row r="1065">
      <c r="A1065" s="3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  <c r="CO1065" s="34"/>
      <c r="CP1065" s="34"/>
      <c r="CQ1065" s="34"/>
      <c r="CR1065" s="34"/>
      <c r="CS1065" s="34"/>
    </row>
    <row r="1066">
      <c r="A1066" s="3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  <c r="CO1066" s="34"/>
      <c r="CP1066" s="34"/>
      <c r="CQ1066" s="34"/>
      <c r="CR1066" s="34"/>
      <c r="CS1066" s="34"/>
    </row>
    <row r="1067">
      <c r="A1067" s="3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  <c r="CO1067" s="34"/>
      <c r="CP1067" s="34"/>
      <c r="CQ1067" s="34"/>
      <c r="CR1067" s="34"/>
      <c r="CS1067" s="34"/>
    </row>
    <row r="1068">
      <c r="A1068" s="3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  <c r="CO1068" s="34"/>
      <c r="CP1068" s="34"/>
      <c r="CQ1068" s="34"/>
      <c r="CR1068" s="34"/>
      <c r="CS1068" s="34"/>
    </row>
    <row r="1069">
      <c r="A1069" s="3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  <c r="CO1069" s="34"/>
      <c r="CP1069" s="34"/>
      <c r="CQ1069" s="34"/>
      <c r="CR1069" s="34"/>
      <c r="CS1069" s="34"/>
    </row>
    <row r="1070">
      <c r="A1070" s="3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  <c r="CO1070" s="34"/>
      <c r="CP1070" s="34"/>
      <c r="CQ1070" s="34"/>
      <c r="CR1070" s="34"/>
      <c r="CS1070" s="34"/>
    </row>
    <row r="1071">
      <c r="A1071" s="3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  <c r="CO1071" s="34"/>
      <c r="CP1071" s="34"/>
      <c r="CQ1071" s="34"/>
      <c r="CR1071" s="34"/>
      <c r="CS1071" s="34"/>
    </row>
    <row r="1072">
      <c r="A1072" s="3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  <c r="CO1072" s="34"/>
      <c r="CP1072" s="34"/>
      <c r="CQ1072" s="34"/>
      <c r="CR1072" s="34"/>
      <c r="CS1072" s="34"/>
    </row>
    <row r="1073">
      <c r="A1073" s="3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  <c r="CO1073" s="34"/>
      <c r="CP1073" s="34"/>
      <c r="CQ1073" s="34"/>
      <c r="CR1073" s="34"/>
      <c r="CS1073" s="34"/>
    </row>
    <row r="1074">
      <c r="A1074" s="3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  <c r="CO1074" s="34"/>
      <c r="CP1074" s="34"/>
      <c r="CQ1074" s="34"/>
      <c r="CR1074" s="34"/>
      <c r="CS1074" s="34"/>
    </row>
    <row r="1075">
      <c r="A1075" s="3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  <c r="CO1075" s="34"/>
      <c r="CP1075" s="34"/>
      <c r="CQ1075" s="34"/>
      <c r="CR1075" s="34"/>
      <c r="CS1075" s="34"/>
    </row>
    <row r="1076">
      <c r="A1076" s="3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  <c r="CO1076" s="34"/>
      <c r="CP1076" s="34"/>
      <c r="CQ1076" s="34"/>
      <c r="CR1076" s="34"/>
      <c r="CS1076" s="34"/>
    </row>
    <row r="1077">
      <c r="A1077" s="3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  <c r="CO1077" s="34"/>
      <c r="CP1077" s="34"/>
      <c r="CQ1077" s="34"/>
      <c r="CR1077" s="34"/>
      <c r="CS1077" s="34"/>
    </row>
    <row r="1078">
      <c r="A1078" s="3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  <c r="CO1078" s="34"/>
      <c r="CP1078" s="34"/>
      <c r="CQ1078" s="34"/>
      <c r="CR1078" s="34"/>
      <c r="CS1078" s="34"/>
    </row>
    <row r="1079">
      <c r="A1079" s="3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  <c r="CO1079" s="34"/>
      <c r="CP1079" s="34"/>
      <c r="CQ1079" s="34"/>
      <c r="CR1079" s="34"/>
      <c r="CS1079" s="34"/>
    </row>
    <row r="1080">
      <c r="A1080" s="3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  <c r="CO1080" s="34"/>
      <c r="CP1080" s="34"/>
      <c r="CQ1080" s="34"/>
      <c r="CR1080" s="34"/>
      <c r="CS1080" s="34"/>
    </row>
    <row r="1081">
      <c r="A1081" s="3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  <c r="CO1081" s="34"/>
      <c r="CP1081" s="34"/>
      <c r="CQ1081" s="34"/>
      <c r="CR1081" s="34"/>
      <c r="CS1081" s="34"/>
    </row>
    <row r="1082">
      <c r="A1082" s="3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  <c r="CO1082" s="34"/>
      <c r="CP1082" s="34"/>
      <c r="CQ1082" s="34"/>
      <c r="CR1082" s="34"/>
      <c r="CS1082" s="34"/>
    </row>
    <row r="1083">
      <c r="A1083" s="3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  <c r="CO1083" s="34"/>
      <c r="CP1083" s="34"/>
      <c r="CQ1083" s="34"/>
      <c r="CR1083" s="34"/>
      <c r="CS1083" s="34"/>
    </row>
    <row r="1084">
      <c r="A1084" s="3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  <c r="CO1084" s="34"/>
      <c r="CP1084" s="34"/>
      <c r="CQ1084" s="34"/>
      <c r="CR1084" s="34"/>
      <c r="CS1084" s="34"/>
    </row>
    <row r="1085">
      <c r="A1085" s="3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  <c r="CO1085" s="34"/>
      <c r="CP1085" s="34"/>
      <c r="CQ1085" s="34"/>
      <c r="CR1085" s="34"/>
      <c r="CS1085" s="34"/>
    </row>
    <row r="1086">
      <c r="A1086" s="3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  <c r="CO1086" s="34"/>
      <c r="CP1086" s="34"/>
      <c r="CQ1086" s="34"/>
      <c r="CR1086" s="34"/>
      <c r="CS1086" s="34"/>
    </row>
    <row r="1087">
      <c r="A1087" s="3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  <c r="CO1087" s="34"/>
      <c r="CP1087" s="34"/>
      <c r="CQ1087" s="34"/>
      <c r="CR1087" s="34"/>
      <c r="CS1087" s="34"/>
    </row>
    <row r="1088">
      <c r="A1088" s="3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  <c r="CO1088" s="34"/>
      <c r="CP1088" s="34"/>
      <c r="CQ1088" s="34"/>
      <c r="CR1088" s="34"/>
      <c r="CS1088" s="34"/>
    </row>
    <row r="1089">
      <c r="A1089" s="3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  <c r="CO1089" s="34"/>
      <c r="CP1089" s="34"/>
      <c r="CQ1089" s="34"/>
      <c r="CR1089" s="34"/>
      <c r="CS1089" s="34"/>
    </row>
    <row r="1090">
      <c r="A1090" s="3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  <c r="CO1090" s="34"/>
      <c r="CP1090" s="34"/>
      <c r="CQ1090" s="34"/>
      <c r="CR1090" s="34"/>
      <c r="CS1090" s="34"/>
    </row>
    <row r="1091">
      <c r="A1091" s="3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  <c r="CO1091" s="34"/>
      <c r="CP1091" s="34"/>
      <c r="CQ1091" s="34"/>
      <c r="CR1091" s="34"/>
      <c r="CS1091" s="34"/>
    </row>
    <row r="1092">
      <c r="A1092" s="3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  <c r="CO1092" s="34"/>
      <c r="CP1092" s="34"/>
      <c r="CQ1092" s="34"/>
      <c r="CR1092" s="34"/>
      <c r="CS1092" s="34"/>
    </row>
    <row r="1093">
      <c r="A1093" s="3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  <c r="CO1093" s="34"/>
      <c r="CP1093" s="34"/>
      <c r="CQ1093" s="34"/>
      <c r="CR1093" s="34"/>
      <c r="CS1093" s="34"/>
    </row>
    <row r="1094">
      <c r="A1094" s="3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  <c r="CO1094" s="34"/>
      <c r="CP1094" s="34"/>
      <c r="CQ1094" s="34"/>
      <c r="CR1094" s="34"/>
      <c r="CS1094" s="34"/>
    </row>
    <row r="1095">
      <c r="A1095" s="3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  <c r="CO1095" s="34"/>
      <c r="CP1095" s="34"/>
      <c r="CQ1095" s="34"/>
      <c r="CR1095" s="34"/>
      <c r="CS1095" s="34"/>
    </row>
    <row r="1096">
      <c r="A1096" s="3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  <c r="CO1096" s="34"/>
      <c r="CP1096" s="34"/>
      <c r="CQ1096" s="34"/>
      <c r="CR1096" s="34"/>
      <c r="CS1096" s="34"/>
    </row>
    <row r="1097">
      <c r="A1097" s="3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  <c r="CO1097" s="34"/>
      <c r="CP1097" s="34"/>
      <c r="CQ1097" s="34"/>
      <c r="CR1097" s="34"/>
      <c r="CS1097" s="34"/>
    </row>
    <row r="1098">
      <c r="A1098" s="3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  <c r="CO1098" s="34"/>
      <c r="CP1098" s="34"/>
      <c r="CQ1098" s="34"/>
      <c r="CR1098" s="34"/>
      <c r="CS1098" s="34"/>
    </row>
    <row r="1099">
      <c r="A1099" s="3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  <c r="CO1099" s="34"/>
      <c r="CP1099" s="34"/>
      <c r="CQ1099" s="34"/>
      <c r="CR1099" s="34"/>
      <c r="CS1099" s="34"/>
    </row>
    <row r="1100">
      <c r="A1100" s="3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  <c r="CO1100" s="34"/>
      <c r="CP1100" s="34"/>
      <c r="CQ1100" s="34"/>
      <c r="CR1100" s="34"/>
      <c r="CS1100" s="34"/>
    </row>
    <row r="1101">
      <c r="A1101" s="3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  <c r="CO1101" s="34"/>
      <c r="CP1101" s="34"/>
      <c r="CQ1101" s="34"/>
      <c r="CR1101" s="34"/>
      <c r="CS1101" s="34"/>
    </row>
    <row r="1102">
      <c r="A1102" s="3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  <c r="CO1102" s="34"/>
      <c r="CP1102" s="34"/>
      <c r="CQ1102" s="34"/>
      <c r="CR1102" s="34"/>
      <c r="CS1102" s="34"/>
    </row>
    <row r="1103">
      <c r="A1103" s="3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  <c r="CO1103" s="34"/>
      <c r="CP1103" s="34"/>
      <c r="CQ1103" s="34"/>
      <c r="CR1103" s="34"/>
      <c r="CS1103" s="34"/>
    </row>
    <row r="1104">
      <c r="A1104" s="3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  <c r="CO1104" s="34"/>
      <c r="CP1104" s="34"/>
      <c r="CQ1104" s="34"/>
      <c r="CR1104" s="34"/>
      <c r="CS1104" s="34"/>
    </row>
    <row r="1105">
      <c r="A1105" s="3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  <c r="CM1105" s="34"/>
      <c r="CN1105" s="34"/>
      <c r="CO1105" s="34"/>
      <c r="CP1105" s="34"/>
      <c r="CQ1105" s="34"/>
      <c r="CR1105" s="34"/>
      <c r="CS1105" s="34"/>
    </row>
    <row r="1106">
      <c r="A1106" s="3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  <c r="CM1106" s="34"/>
      <c r="CN1106" s="34"/>
      <c r="CO1106" s="34"/>
      <c r="CP1106" s="34"/>
      <c r="CQ1106" s="34"/>
      <c r="CR1106" s="34"/>
      <c r="CS1106" s="34"/>
    </row>
    <row r="1107">
      <c r="A1107" s="3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  <c r="CM1107" s="34"/>
      <c r="CN1107" s="34"/>
      <c r="CO1107" s="34"/>
      <c r="CP1107" s="34"/>
      <c r="CQ1107" s="34"/>
      <c r="CR1107" s="34"/>
      <c r="CS1107" s="34"/>
    </row>
    <row r="1108">
      <c r="A1108" s="3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  <c r="CM1108" s="34"/>
      <c r="CN1108" s="34"/>
      <c r="CO1108" s="34"/>
      <c r="CP1108" s="34"/>
      <c r="CQ1108" s="34"/>
      <c r="CR1108" s="34"/>
      <c r="CS1108" s="34"/>
    </row>
    <row r="1109">
      <c r="A1109" s="3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  <c r="CM1109" s="34"/>
      <c r="CN1109" s="34"/>
      <c r="CO1109" s="34"/>
      <c r="CP1109" s="34"/>
      <c r="CQ1109" s="34"/>
      <c r="CR1109" s="34"/>
      <c r="CS1109" s="34"/>
    </row>
    <row r="1110">
      <c r="A1110" s="3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  <c r="CM1110" s="34"/>
      <c r="CN1110" s="34"/>
      <c r="CO1110" s="34"/>
      <c r="CP1110" s="34"/>
      <c r="CQ1110" s="34"/>
      <c r="CR1110" s="34"/>
      <c r="CS1110" s="34"/>
    </row>
    <row r="1111">
      <c r="A1111" s="3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  <c r="CM1111" s="34"/>
      <c r="CN1111" s="34"/>
      <c r="CO1111" s="34"/>
      <c r="CP1111" s="34"/>
      <c r="CQ1111" s="34"/>
      <c r="CR1111" s="34"/>
      <c r="CS1111" s="34"/>
    </row>
    <row r="1112">
      <c r="A1112" s="3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  <c r="CM1112" s="34"/>
      <c r="CN1112" s="34"/>
      <c r="CO1112" s="34"/>
      <c r="CP1112" s="34"/>
      <c r="CQ1112" s="34"/>
      <c r="CR1112" s="34"/>
      <c r="CS1112" s="34"/>
    </row>
    <row r="1113">
      <c r="A1113" s="34"/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  <c r="CM1113" s="34"/>
      <c r="CN1113" s="34"/>
      <c r="CO1113" s="34"/>
      <c r="CP1113" s="34"/>
      <c r="CQ1113" s="34"/>
      <c r="CR1113" s="34"/>
      <c r="CS1113" s="34"/>
    </row>
    <row r="1114">
      <c r="A1114" s="34"/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  <c r="CM1114" s="34"/>
      <c r="CN1114" s="34"/>
      <c r="CO1114" s="34"/>
      <c r="CP1114" s="34"/>
      <c r="CQ1114" s="34"/>
      <c r="CR1114" s="34"/>
      <c r="CS1114" s="34"/>
    </row>
    <row r="1115">
      <c r="A1115" s="34"/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  <c r="CM1115" s="34"/>
      <c r="CN1115" s="34"/>
      <c r="CO1115" s="34"/>
      <c r="CP1115" s="34"/>
      <c r="CQ1115" s="34"/>
      <c r="CR1115" s="34"/>
      <c r="CS1115" s="34"/>
    </row>
    <row r="1116">
      <c r="A1116" s="34"/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  <c r="CM1116" s="34"/>
      <c r="CN1116" s="34"/>
      <c r="CO1116" s="34"/>
      <c r="CP1116" s="34"/>
      <c r="CQ1116" s="34"/>
      <c r="CR1116" s="34"/>
      <c r="CS1116" s="34"/>
    </row>
    <row r="1117">
      <c r="A1117" s="34"/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  <c r="CM1117" s="34"/>
      <c r="CN1117" s="34"/>
      <c r="CO1117" s="34"/>
      <c r="CP1117" s="34"/>
      <c r="CQ1117" s="34"/>
      <c r="CR1117" s="34"/>
      <c r="CS1117" s="34"/>
    </row>
    <row r="1118">
      <c r="A1118" s="34"/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  <c r="CM1118" s="34"/>
      <c r="CN1118" s="34"/>
      <c r="CO1118" s="34"/>
      <c r="CP1118" s="34"/>
      <c r="CQ1118" s="34"/>
      <c r="CR1118" s="34"/>
      <c r="CS1118" s="34"/>
    </row>
    <row r="1119">
      <c r="A1119" s="34"/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  <c r="CM1119" s="34"/>
      <c r="CN1119" s="34"/>
      <c r="CO1119" s="34"/>
      <c r="CP1119" s="34"/>
      <c r="CQ1119" s="34"/>
      <c r="CR1119" s="34"/>
      <c r="CS1119" s="34"/>
    </row>
    <row r="1120">
      <c r="A1120" s="34"/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  <c r="CM1120" s="34"/>
      <c r="CN1120" s="34"/>
      <c r="CO1120" s="34"/>
      <c r="CP1120" s="34"/>
      <c r="CQ1120" s="34"/>
      <c r="CR1120" s="34"/>
      <c r="CS1120" s="34"/>
    </row>
    <row r="1121">
      <c r="A1121" s="34"/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  <c r="CM1121" s="34"/>
      <c r="CN1121" s="34"/>
      <c r="CO1121" s="34"/>
      <c r="CP1121" s="34"/>
      <c r="CQ1121" s="34"/>
      <c r="CR1121" s="34"/>
      <c r="CS1121" s="34"/>
    </row>
    <row r="1122">
      <c r="A1122" s="34"/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  <c r="CM1122" s="34"/>
      <c r="CN1122" s="34"/>
      <c r="CO1122" s="34"/>
      <c r="CP1122" s="34"/>
      <c r="CQ1122" s="34"/>
      <c r="CR1122" s="34"/>
      <c r="CS1122" s="34"/>
    </row>
    <row r="1123">
      <c r="A1123" s="34"/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  <c r="CM1123" s="34"/>
      <c r="CN1123" s="34"/>
      <c r="CO1123" s="34"/>
      <c r="CP1123" s="34"/>
      <c r="CQ1123" s="34"/>
      <c r="CR1123" s="34"/>
      <c r="CS1123" s="34"/>
    </row>
    <row r="1124">
      <c r="A1124" s="34"/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  <c r="CM1124" s="34"/>
      <c r="CN1124" s="34"/>
      <c r="CO1124" s="34"/>
      <c r="CP1124" s="34"/>
      <c r="CQ1124" s="34"/>
      <c r="CR1124" s="34"/>
      <c r="CS1124" s="34"/>
    </row>
    <row r="1125">
      <c r="A1125" s="34"/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  <c r="CM1125" s="34"/>
      <c r="CN1125" s="34"/>
      <c r="CO1125" s="34"/>
      <c r="CP1125" s="34"/>
      <c r="CQ1125" s="34"/>
      <c r="CR1125" s="34"/>
      <c r="CS1125" s="34"/>
    </row>
    <row r="1126">
      <c r="A1126" s="34"/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  <c r="CM1126" s="34"/>
      <c r="CN1126" s="34"/>
      <c r="CO1126" s="34"/>
      <c r="CP1126" s="34"/>
      <c r="CQ1126" s="34"/>
      <c r="CR1126" s="34"/>
      <c r="CS1126" s="34"/>
    </row>
    <row r="1127">
      <c r="A1127" s="34"/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  <c r="CM1127" s="34"/>
      <c r="CN1127" s="34"/>
      <c r="CO1127" s="34"/>
      <c r="CP1127" s="34"/>
      <c r="CQ1127" s="34"/>
      <c r="CR1127" s="34"/>
      <c r="CS1127" s="34"/>
    </row>
    <row r="1128">
      <c r="A1128" s="34"/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  <c r="CM1128" s="34"/>
      <c r="CN1128" s="34"/>
      <c r="CO1128" s="34"/>
      <c r="CP1128" s="34"/>
      <c r="CQ1128" s="34"/>
      <c r="CR1128" s="34"/>
      <c r="CS1128" s="34"/>
    </row>
    <row r="1129">
      <c r="A1129" s="34"/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  <c r="CM1129" s="34"/>
      <c r="CN1129" s="34"/>
      <c r="CO1129" s="34"/>
      <c r="CP1129" s="34"/>
      <c r="CQ1129" s="34"/>
      <c r="CR1129" s="34"/>
      <c r="CS1129" s="34"/>
    </row>
    <row r="1130">
      <c r="A1130" s="34"/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  <c r="CM1130" s="34"/>
      <c r="CN1130" s="34"/>
      <c r="CO1130" s="34"/>
      <c r="CP1130" s="34"/>
      <c r="CQ1130" s="34"/>
      <c r="CR1130" s="34"/>
      <c r="CS1130" s="34"/>
    </row>
    <row r="1131">
      <c r="A1131" s="34"/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  <c r="CM1131" s="34"/>
      <c r="CN1131" s="34"/>
      <c r="CO1131" s="34"/>
      <c r="CP1131" s="34"/>
      <c r="CQ1131" s="34"/>
      <c r="CR1131" s="34"/>
      <c r="CS1131" s="34"/>
    </row>
    <row r="1132">
      <c r="A1132" s="34"/>
      <c r="B1132" s="3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  <c r="CM1132" s="34"/>
      <c r="CN1132" s="34"/>
      <c r="CO1132" s="34"/>
      <c r="CP1132" s="34"/>
      <c r="CQ1132" s="34"/>
      <c r="CR1132" s="34"/>
      <c r="CS1132" s="34"/>
    </row>
    <row r="1133">
      <c r="A1133" s="34"/>
      <c r="B1133" s="3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  <c r="CM1133" s="34"/>
      <c r="CN1133" s="34"/>
      <c r="CO1133" s="34"/>
      <c r="CP1133" s="34"/>
      <c r="CQ1133" s="34"/>
      <c r="CR1133" s="34"/>
      <c r="CS1133" s="34"/>
    </row>
    <row r="1134">
      <c r="A1134" s="34"/>
      <c r="B1134" s="3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  <c r="CM1134" s="34"/>
      <c r="CN1134" s="34"/>
      <c r="CO1134" s="34"/>
      <c r="CP1134" s="34"/>
      <c r="CQ1134" s="34"/>
      <c r="CR1134" s="34"/>
      <c r="CS1134" s="34"/>
    </row>
    <row r="1135">
      <c r="A1135" s="34"/>
      <c r="B1135" s="3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  <c r="CM1135" s="34"/>
      <c r="CN1135" s="34"/>
      <c r="CO1135" s="34"/>
      <c r="CP1135" s="34"/>
      <c r="CQ1135" s="34"/>
      <c r="CR1135" s="34"/>
      <c r="CS1135" s="34"/>
    </row>
    <row r="1136">
      <c r="A1136" s="34"/>
      <c r="B1136" s="3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  <c r="CM1136" s="34"/>
      <c r="CN1136" s="34"/>
      <c r="CO1136" s="34"/>
      <c r="CP1136" s="34"/>
      <c r="CQ1136" s="34"/>
      <c r="CR1136" s="34"/>
      <c r="CS1136" s="34"/>
    </row>
    <row r="1137">
      <c r="A1137" s="34"/>
      <c r="B1137" s="3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  <c r="CM1137" s="34"/>
      <c r="CN1137" s="34"/>
      <c r="CO1137" s="34"/>
      <c r="CP1137" s="34"/>
      <c r="CQ1137" s="34"/>
      <c r="CR1137" s="34"/>
      <c r="CS1137" s="34"/>
    </row>
    <row r="1138">
      <c r="A1138" s="34"/>
      <c r="B1138" s="3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  <c r="CM1138" s="34"/>
      <c r="CN1138" s="34"/>
      <c r="CO1138" s="34"/>
      <c r="CP1138" s="34"/>
      <c r="CQ1138" s="34"/>
      <c r="CR1138" s="34"/>
      <c r="CS1138" s="34"/>
    </row>
    <row r="1139">
      <c r="A1139" s="34"/>
      <c r="B1139" s="3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  <c r="CM1139" s="34"/>
      <c r="CN1139" s="34"/>
      <c r="CO1139" s="34"/>
      <c r="CP1139" s="34"/>
      <c r="CQ1139" s="34"/>
      <c r="CR1139" s="34"/>
      <c r="CS1139" s="34"/>
    </row>
    <row r="1140">
      <c r="A1140" s="34"/>
      <c r="B1140" s="3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  <c r="CM1140" s="34"/>
      <c r="CN1140" s="34"/>
      <c r="CO1140" s="34"/>
      <c r="CP1140" s="34"/>
      <c r="CQ1140" s="34"/>
      <c r="CR1140" s="34"/>
      <c r="CS1140" s="34"/>
    </row>
    <row r="1141">
      <c r="A1141" s="34"/>
      <c r="B1141" s="3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  <c r="CM1141" s="34"/>
      <c r="CN1141" s="34"/>
      <c r="CO1141" s="34"/>
      <c r="CP1141" s="34"/>
      <c r="CQ1141" s="34"/>
      <c r="CR1141" s="34"/>
      <c r="CS1141" s="34"/>
    </row>
    <row r="1142">
      <c r="A1142" s="34"/>
      <c r="B1142" s="3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  <c r="CM1142" s="34"/>
      <c r="CN1142" s="34"/>
      <c r="CO1142" s="34"/>
      <c r="CP1142" s="34"/>
      <c r="CQ1142" s="34"/>
      <c r="CR1142" s="34"/>
      <c r="CS1142" s="34"/>
    </row>
    <row r="1143">
      <c r="A1143" s="34"/>
      <c r="B1143" s="3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  <c r="CM1143" s="34"/>
      <c r="CN1143" s="34"/>
      <c r="CO1143" s="34"/>
      <c r="CP1143" s="34"/>
      <c r="CQ1143" s="34"/>
      <c r="CR1143" s="34"/>
      <c r="CS1143" s="34"/>
    </row>
    <row r="1144">
      <c r="A1144" s="34"/>
      <c r="B1144" s="3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  <c r="CM1144" s="34"/>
      <c r="CN1144" s="34"/>
      <c r="CO1144" s="34"/>
      <c r="CP1144" s="34"/>
      <c r="CQ1144" s="34"/>
      <c r="CR1144" s="34"/>
      <c r="CS1144" s="34"/>
    </row>
    <row r="1145">
      <c r="A1145" s="34"/>
      <c r="B1145" s="3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  <c r="CM1145" s="34"/>
      <c r="CN1145" s="34"/>
      <c r="CO1145" s="34"/>
      <c r="CP1145" s="34"/>
      <c r="CQ1145" s="34"/>
      <c r="CR1145" s="34"/>
      <c r="CS1145" s="34"/>
    </row>
    <row r="1146">
      <c r="A1146" s="34"/>
      <c r="B1146" s="3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  <c r="CM1146" s="34"/>
      <c r="CN1146" s="34"/>
      <c r="CO1146" s="34"/>
      <c r="CP1146" s="34"/>
      <c r="CQ1146" s="34"/>
      <c r="CR1146" s="34"/>
      <c r="CS1146" s="34"/>
    </row>
    <row r="1147">
      <c r="A1147" s="34"/>
      <c r="B1147" s="3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  <c r="CM1147" s="34"/>
      <c r="CN1147" s="34"/>
      <c r="CO1147" s="34"/>
      <c r="CP1147" s="34"/>
      <c r="CQ1147" s="34"/>
      <c r="CR1147" s="34"/>
      <c r="CS1147" s="34"/>
    </row>
    <row r="1148">
      <c r="A1148" s="34"/>
      <c r="B1148" s="3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  <c r="CM1148" s="34"/>
      <c r="CN1148" s="34"/>
      <c r="CO1148" s="34"/>
      <c r="CP1148" s="34"/>
      <c r="CQ1148" s="34"/>
      <c r="CR1148" s="34"/>
      <c r="CS1148" s="34"/>
    </row>
    <row r="1149">
      <c r="A1149" s="34"/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  <c r="CM1149" s="34"/>
      <c r="CN1149" s="34"/>
      <c r="CO1149" s="34"/>
      <c r="CP1149" s="34"/>
      <c r="CQ1149" s="34"/>
      <c r="CR1149" s="34"/>
      <c r="CS1149" s="34"/>
    </row>
    <row r="1150">
      <c r="A1150" s="34"/>
      <c r="B1150" s="3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  <c r="CM1150" s="34"/>
      <c r="CN1150" s="34"/>
      <c r="CO1150" s="34"/>
      <c r="CP1150" s="34"/>
      <c r="CQ1150" s="34"/>
      <c r="CR1150" s="34"/>
      <c r="CS1150" s="34"/>
    </row>
    <row r="1151">
      <c r="A1151" s="34"/>
      <c r="B1151" s="3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  <c r="CM1151" s="34"/>
      <c r="CN1151" s="34"/>
      <c r="CO1151" s="34"/>
      <c r="CP1151" s="34"/>
      <c r="CQ1151" s="34"/>
      <c r="CR1151" s="34"/>
      <c r="CS1151" s="34"/>
    </row>
    <row r="1152">
      <c r="A1152" s="34"/>
      <c r="B1152" s="3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  <c r="CM1152" s="34"/>
      <c r="CN1152" s="34"/>
      <c r="CO1152" s="34"/>
      <c r="CP1152" s="34"/>
      <c r="CQ1152" s="34"/>
      <c r="CR1152" s="34"/>
      <c r="CS1152" s="34"/>
    </row>
    <row r="1153">
      <c r="A1153" s="34"/>
      <c r="B1153" s="3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  <c r="CM1153" s="34"/>
      <c r="CN1153" s="34"/>
      <c r="CO1153" s="34"/>
      <c r="CP1153" s="34"/>
      <c r="CQ1153" s="34"/>
      <c r="CR1153" s="34"/>
      <c r="CS1153" s="34"/>
    </row>
    <row r="1154">
      <c r="A1154" s="34"/>
      <c r="B1154" s="3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  <c r="CM1154" s="34"/>
      <c r="CN1154" s="34"/>
      <c r="CO1154" s="34"/>
      <c r="CP1154" s="34"/>
      <c r="CQ1154" s="34"/>
      <c r="CR1154" s="34"/>
      <c r="CS1154" s="34"/>
    </row>
    <row r="1155">
      <c r="A1155" s="34"/>
      <c r="B1155" s="3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  <c r="CM1155" s="34"/>
      <c r="CN1155" s="34"/>
      <c r="CO1155" s="34"/>
      <c r="CP1155" s="34"/>
      <c r="CQ1155" s="34"/>
      <c r="CR1155" s="34"/>
      <c r="CS1155" s="34"/>
    </row>
    <row r="1156">
      <c r="A1156" s="34"/>
      <c r="B1156" s="3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  <c r="CM1156" s="34"/>
      <c r="CN1156" s="34"/>
      <c r="CO1156" s="34"/>
      <c r="CP1156" s="34"/>
      <c r="CQ1156" s="34"/>
      <c r="CR1156" s="34"/>
      <c r="CS1156" s="34"/>
    </row>
    <row r="1157">
      <c r="A1157" s="34"/>
      <c r="B1157" s="3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  <c r="CM1157" s="34"/>
      <c r="CN1157" s="34"/>
      <c r="CO1157" s="34"/>
      <c r="CP1157" s="34"/>
      <c r="CQ1157" s="34"/>
      <c r="CR1157" s="34"/>
      <c r="CS1157" s="34"/>
    </row>
    <row r="1158">
      <c r="A1158" s="34"/>
      <c r="B1158" s="3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  <c r="CM1158" s="34"/>
      <c r="CN1158" s="34"/>
      <c r="CO1158" s="34"/>
      <c r="CP1158" s="34"/>
      <c r="CQ1158" s="34"/>
      <c r="CR1158" s="34"/>
      <c r="CS1158" s="34"/>
    </row>
    <row r="1159">
      <c r="A1159" s="34"/>
      <c r="B1159" s="3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  <c r="CM1159" s="34"/>
      <c r="CN1159" s="34"/>
      <c r="CO1159" s="34"/>
      <c r="CP1159" s="34"/>
      <c r="CQ1159" s="34"/>
      <c r="CR1159" s="34"/>
      <c r="CS1159" s="34"/>
    </row>
    <row r="1160">
      <c r="A1160" s="34"/>
      <c r="B1160" s="3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  <c r="CM1160" s="34"/>
      <c r="CN1160" s="34"/>
      <c r="CO1160" s="34"/>
      <c r="CP1160" s="34"/>
      <c r="CQ1160" s="34"/>
      <c r="CR1160" s="34"/>
      <c r="CS1160" s="34"/>
    </row>
    <row r="1161">
      <c r="A1161" s="34"/>
      <c r="B1161" s="3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  <c r="CM1161" s="34"/>
      <c r="CN1161" s="34"/>
      <c r="CO1161" s="34"/>
      <c r="CP1161" s="34"/>
      <c r="CQ1161" s="34"/>
      <c r="CR1161" s="34"/>
      <c r="CS1161" s="34"/>
    </row>
    <row r="1162">
      <c r="A1162" s="34"/>
      <c r="B1162" s="3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  <c r="CM1162" s="34"/>
      <c r="CN1162" s="34"/>
      <c r="CO1162" s="34"/>
      <c r="CP1162" s="34"/>
      <c r="CQ1162" s="34"/>
      <c r="CR1162" s="34"/>
      <c r="CS1162" s="34"/>
    </row>
    <row r="1163">
      <c r="A1163" s="34"/>
      <c r="B1163" s="3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  <c r="CM1163" s="34"/>
      <c r="CN1163" s="34"/>
      <c r="CO1163" s="34"/>
      <c r="CP1163" s="34"/>
      <c r="CQ1163" s="34"/>
      <c r="CR1163" s="34"/>
      <c r="CS1163" s="34"/>
    </row>
    <row r="1164">
      <c r="A1164" s="34"/>
      <c r="B1164" s="3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  <c r="CM1164" s="34"/>
      <c r="CN1164" s="34"/>
      <c r="CO1164" s="34"/>
      <c r="CP1164" s="34"/>
      <c r="CQ1164" s="34"/>
      <c r="CR1164" s="34"/>
      <c r="CS1164" s="34"/>
    </row>
    <row r="1165">
      <c r="A1165" s="34"/>
      <c r="B1165" s="3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  <c r="CM1165" s="34"/>
      <c r="CN1165" s="34"/>
      <c r="CO1165" s="34"/>
      <c r="CP1165" s="34"/>
      <c r="CQ1165" s="34"/>
      <c r="CR1165" s="34"/>
      <c r="CS1165" s="34"/>
    </row>
    <row r="1166">
      <c r="A1166" s="34"/>
      <c r="B1166" s="3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  <c r="CM1166" s="34"/>
      <c r="CN1166" s="34"/>
      <c r="CO1166" s="34"/>
      <c r="CP1166" s="34"/>
      <c r="CQ1166" s="34"/>
      <c r="CR1166" s="34"/>
      <c r="CS1166" s="34"/>
    </row>
    <row r="1167">
      <c r="A1167" s="34"/>
      <c r="B1167" s="3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  <c r="CM1167" s="34"/>
      <c r="CN1167" s="34"/>
      <c r="CO1167" s="34"/>
      <c r="CP1167" s="34"/>
      <c r="CQ1167" s="34"/>
      <c r="CR1167" s="34"/>
      <c r="CS1167" s="34"/>
    </row>
    <row r="1168">
      <c r="A1168" s="34"/>
      <c r="B1168" s="3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  <c r="CM1168" s="34"/>
      <c r="CN1168" s="34"/>
      <c r="CO1168" s="34"/>
      <c r="CP1168" s="34"/>
      <c r="CQ1168" s="34"/>
      <c r="CR1168" s="34"/>
      <c r="CS1168" s="34"/>
    </row>
    <row r="1169">
      <c r="A1169" s="34"/>
      <c r="B1169" s="3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  <c r="CM1169" s="34"/>
      <c r="CN1169" s="34"/>
      <c r="CO1169" s="34"/>
      <c r="CP1169" s="34"/>
      <c r="CQ1169" s="34"/>
      <c r="CR1169" s="34"/>
      <c r="CS1169" s="34"/>
    </row>
    <row r="1170">
      <c r="A1170" s="34"/>
      <c r="B1170" s="3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  <c r="CM1170" s="34"/>
      <c r="CN1170" s="34"/>
      <c r="CO1170" s="34"/>
      <c r="CP1170" s="34"/>
      <c r="CQ1170" s="34"/>
      <c r="CR1170" s="34"/>
      <c r="CS1170" s="34"/>
    </row>
    <row r="1171">
      <c r="A1171" s="34"/>
      <c r="B1171" s="3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  <c r="CM1171" s="34"/>
      <c r="CN1171" s="34"/>
      <c r="CO1171" s="34"/>
      <c r="CP1171" s="34"/>
      <c r="CQ1171" s="34"/>
      <c r="CR1171" s="34"/>
      <c r="CS1171" s="34"/>
    </row>
    <row r="1172">
      <c r="A1172" s="34"/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  <c r="CM1172" s="34"/>
      <c r="CN1172" s="34"/>
      <c r="CO1172" s="34"/>
      <c r="CP1172" s="34"/>
      <c r="CQ1172" s="34"/>
      <c r="CR1172" s="34"/>
      <c r="CS1172" s="34"/>
    </row>
    <row r="1173">
      <c r="A1173" s="34"/>
      <c r="B1173" s="3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  <c r="CM1173" s="34"/>
      <c r="CN1173" s="34"/>
      <c r="CO1173" s="34"/>
      <c r="CP1173" s="34"/>
      <c r="CQ1173" s="34"/>
      <c r="CR1173" s="34"/>
      <c r="CS1173" s="34"/>
    </row>
    <row r="1174">
      <c r="A1174" s="34"/>
      <c r="B1174" s="3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  <c r="CM1174" s="34"/>
      <c r="CN1174" s="34"/>
      <c r="CO1174" s="34"/>
      <c r="CP1174" s="34"/>
      <c r="CQ1174" s="34"/>
      <c r="CR1174" s="34"/>
      <c r="CS1174" s="34"/>
    </row>
    <row r="1175">
      <c r="A1175" s="34"/>
      <c r="B1175" s="3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  <c r="CM1175" s="34"/>
      <c r="CN1175" s="34"/>
      <c r="CO1175" s="34"/>
      <c r="CP1175" s="34"/>
      <c r="CQ1175" s="34"/>
      <c r="CR1175" s="34"/>
      <c r="CS1175" s="34"/>
    </row>
    <row r="1176">
      <c r="A1176" s="34"/>
      <c r="B1176" s="3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  <c r="CM1176" s="34"/>
      <c r="CN1176" s="34"/>
      <c r="CO1176" s="34"/>
      <c r="CP1176" s="34"/>
      <c r="CQ1176" s="34"/>
      <c r="CR1176" s="34"/>
      <c r="CS1176" s="34"/>
    </row>
    <row r="1177">
      <c r="A1177" s="34"/>
      <c r="B1177" s="3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  <c r="CM1177" s="34"/>
      <c r="CN1177" s="34"/>
      <c r="CO1177" s="34"/>
      <c r="CP1177" s="34"/>
      <c r="CQ1177" s="34"/>
      <c r="CR1177" s="34"/>
      <c r="CS1177" s="34"/>
    </row>
    <row r="1178">
      <c r="A1178" s="34"/>
      <c r="B1178" s="3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  <c r="CM1178" s="34"/>
      <c r="CN1178" s="34"/>
      <c r="CO1178" s="34"/>
      <c r="CP1178" s="34"/>
      <c r="CQ1178" s="34"/>
      <c r="CR1178" s="34"/>
      <c r="CS1178" s="34"/>
    </row>
    <row r="1179">
      <c r="A1179" s="34"/>
      <c r="B1179" s="3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  <c r="CM1179" s="34"/>
      <c r="CN1179" s="34"/>
      <c r="CO1179" s="34"/>
      <c r="CP1179" s="34"/>
      <c r="CQ1179" s="34"/>
      <c r="CR1179" s="34"/>
      <c r="CS1179" s="34"/>
    </row>
    <row r="1180">
      <c r="A1180" s="34"/>
      <c r="B1180" s="3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  <c r="CM1180" s="34"/>
      <c r="CN1180" s="34"/>
      <c r="CO1180" s="34"/>
      <c r="CP1180" s="34"/>
      <c r="CQ1180" s="34"/>
      <c r="CR1180" s="34"/>
      <c r="CS1180" s="34"/>
    </row>
    <row r="1181">
      <c r="A1181" s="34"/>
      <c r="B1181" s="3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  <c r="CM1181" s="34"/>
      <c r="CN1181" s="34"/>
      <c r="CO1181" s="34"/>
      <c r="CP1181" s="34"/>
      <c r="CQ1181" s="34"/>
      <c r="CR1181" s="34"/>
      <c r="CS1181" s="34"/>
    </row>
    <row r="1182">
      <c r="A1182" s="34"/>
      <c r="B1182" s="3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  <c r="CM1182" s="34"/>
      <c r="CN1182" s="34"/>
      <c r="CO1182" s="34"/>
      <c r="CP1182" s="34"/>
      <c r="CQ1182" s="34"/>
      <c r="CR1182" s="34"/>
      <c r="CS1182" s="34"/>
    </row>
    <row r="1183">
      <c r="A1183" s="34"/>
      <c r="B1183" s="3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  <c r="CM1183" s="34"/>
      <c r="CN1183" s="34"/>
      <c r="CO1183" s="34"/>
      <c r="CP1183" s="34"/>
      <c r="CQ1183" s="34"/>
      <c r="CR1183" s="34"/>
      <c r="CS1183" s="34"/>
    </row>
    <row r="1184">
      <c r="A1184" s="34"/>
      <c r="B1184" s="3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  <c r="CM1184" s="34"/>
      <c r="CN1184" s="34"/>
      <c r="CO1184" s="34"/>
      <c r="CP1184" s="34"/>
      <c r="CQ1184" s="34"/>
      <c r="CR1184" s="34"/>
      <c r="CS1184" s="34"/>
    </row>
    <row r="1185">
      <c r="A1185" s="34"/>
      <c r="B1185" s="3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  <c r="CM1185" s="34"/>
      <c r="CN1185" s="34"/>
      <c r="CO1185" s="34"/>
      <c r="CP1185" s="34"/>
      <c r="CQ1185" s="34"/>
      <c r="CR1185" s="34"/>
      <c r="CS1185" s="34"/>
    </row>
    <row r="1186">
      <c r="A1186" s="34"/>
      <c r="B1186" s="3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  <c r="CM1186" s="34"/>
      <c r="CN1186" s="34"/>
      <c r="CO1186" s="34"/>
      <c r="CP1186" s="34"/>
      <c r="CQ1186" s="34"/>
      <c r="CR1186" s="34"/>
      <c r="CS1186" s="34"/>
    </row>
    <row r="1187">
      <c r="A1187" s="34"/>
      <c r="B1187" s="3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  <c r="CM1187" s="34"/>
      <c r="CN1187" s="34"/>
      <c r="CO1187" s="34"/>
      <c r="CP1187" s="34"/>
      <c r="CQ1187" s="34"/>
      <c r="CR1187" s="34"/>
      <c r="CS1187" s="34"/>
    </row>
    <row r="1188">
      <c r="A1188" s="34"/>
      <c r="B1188" s="3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  <c r="CM1188" s="34"/>
      <c r="CN1188" s="34"/>
      <c r="CO1188" s="34"/>
      <c r="CP1188" s="34"/>
      <c r="CQ1188" s="34"/>
      <c r="CR1188" s="34"/>
      <c r="CS1188" s="34"/>
    </row>
    <row r="1189">
      <c r="A1189" s="34"/>
      <c r="B1189" s="3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  <c r="CM1189" s="34"/>
      <c r="CN1189" s="34"/>
      <c r="CO1189" s="34"/>
      <c r="CP1189" s="34"/>
      <c r="CQ1189" s="34"/>
      <c r="CR1189" s="34"/>
      <c r="CS1189" s="34"/>
    </row>
    <row r="1190">
      <c r="A1190" s="34"/>
      <c r="B1190" s="3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  <c r="CM1190" s="34"/>
      <c r="CN1190" s="34"/>
      <c r="CO1190" s="34"/>
      <c r="CP1190" s="34"/>
      <c r="CQ1190" s="34"/>
      <c r="CR1190" s="34"/>
      <c r="CS1190" s="34"/>
    </row>
    <row r="1191">
      <c r="A1191" s="34"/>
      <c r="B1191" s="3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  <c r="CM1191" s="34"/>
      <c r="CN1191" s="34"/>
      <c r="CO1191" s="34"/>
      <c r="CP1191" s="34"/>
      <c r="CQ1191" s="34"/>
      <c r="CR1191" s="34"/>
      <c r="CS1191" s="34"/>
    </row>
    <row r="1192">
      <c r="A1192" s="34"/>
      <c r="B1192" s="3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  <c r="CM1192" s="34"/>
      <c r="CN1192" s="34"/>
      <c r="CO1192" s="34"/>
      <c r="CP1192" s="34"/>
      <c r="CQ1192" s="34"/>
      <c r="CR1192" s="34"/>
      <c r="CS1192" s="34"/>
    </row>
    <row r="1193">
      <c r="A1193" s="34"/>
      <c r="B1193" s="3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  <c r="CM1193" s="34"/>
      <c r="CN1193" s="34"/>
      <c r="CO1193" s="34"/>
      <c r="CP1193" s="34"/>
      <c r="CQ1193" s="34"/>
      <c r="CR1193" s="34"/>
      <c r="CS1193" s="34"/>
    </row>
    <row r="1194">
      <c r="A1194" s="34"/>
      <c r="B1194" s="3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  <c r="CM1194" s="34"/>
      <c r="CN1194" s="34"/>
      <c r="CO1194" s="34"/>
      <c r="CP1194" s="34"/>
      <c r="CQ1194" s="34"/>
      <c r="CR1194" s="34"/>
      <c r="CS1194" s="34"/>
    </row>
    <row r="1195">
      <c r="A1195" s="34"/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  <c r="CM1195" s="34"/>
      <c r="CN1195" s="34"/>
      <c r="CO1195" s="34"/>
      <c r="CP1195" s="34"/>
      <c r="CQ1195" s="34"/>
      <c r="CR1195" s="34"/>
      <c r="CS1195" s="34"/>
    </row>
    <row r="1196">
      <c r="A1196" s="34"/>
      <c r="B1196" s="3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  <c r="CM1196" s="34"/>
      <c r="CN1196" s="34"/>
      <c r="CO1196" s="34"/>
      <c r="CP1196" s="34"/>
      <c r="CQ1196" s="34"/>
      <c r="CR1196" s="34"/>
      <c r="CS1196" s="34"/>
    </row>
    <row r="1197">
      <c r="A1197" s="34"/>
      <c r="B1197" s="3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  <c r="CM1197" s="34"/>
      <c r="CN1197" s="34"/>
      <c r="CO1197" s="34"/>
      <c r="CP1197" s="34"/>
      <c r="CQ1197" s="34"/>
      <c r="CR1197" s="34"/>
      <c r="CS1197" s="34"/>
    </row>
    <row r="1198">
      <c r="A1198" s="34"/>
      <c r="B1198" s="3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  <c r="CM1198" s="34"/>
      <c r="CN1198" s="34"/>
      <c r="CO1198" s="34"/>
      <c r="CP1198" s="34"/>
      <c r="CQ1198" s="34"/>
      <c r="CR1198" s="34"/>
      <c r="CS1198" s="34"/>
    </row>
    <row r="1199">
      <c r="A1199" s="34"/>
      <c r="B1199" s="3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  <c r="CM1199" s="34"/>
      <c r="CN1199" s="34"/>
      <c r="CO1199" s="34"/>
      <c r="CP1199" s="34"/>
      <c r="CQ1199" s="34"/>
      <c r="CR1199" s="34"/>
      <c r="CS1199" s="34"/>
    </row>
    <row r="1200">
      <c r="A1200" s="34"/>
      <c r="B1200" s="3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  <c r="CM1200" s="34"/>
      <c r="CN1200" s="34"/>
      <c r="CO1200" s="34"/>
      <c r="CP1200" s="34"/>
      <c r="CQ1200" s="34"/>
      <c r="CR1200" s="34"/>
      <c r="CS1200" s="34"/>
    </row>
    <row r="1201">
      <c r="A1201" s="34"/>
      <c r="B1201" s="3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  <c r="CM1201" s="34"/>
      <c r="CN1201" s="34"/>
      <c r="CO1201" s="34"/>
      <c r="CP1201" s="34"/>
      <c r="CQ1201" s="34"/>
      <c r="CR1201" s="34"/>
      <c r="CS1201" s="34"/>
    </row>
    <row r="1202">
      <c r="A1202" s="34"/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  <c r="CM1202" s="34"/>
      <c r="CN1202" s="34"/>
      <c r="CO1202" s="34"/>
      <c r="CP1202" s="34"/>
      <c r="CQ1202" s="34"/>
      <c r="CR1202" s="34"/>
      <c r="CS1202" s="34"/>
    </row>
    <row r="1203">
      <c r="A1203" s="34"/>
      <c r="B1203" s="3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  <c r="CM1203" s="34"/>
      <c r="CN1203" s="34"/>
      <c r="CO1203" s="34"/>
      <c r="CP1203" s="34"/>
      <c r="CQ1203" s="34"/>
      <c r="CR1203" s="34"/>
      <c r="CS1203" s="34"/>
    </row>
    <row r="1204">
      <c r="A1204" s="34"/>
      <c r="B1204" s="3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  <c r="CM1204" s="34"/>
      <c r="CN1204" s="34"/>
      <c r="CO1204" s="34"/>
      <c r="CP1204" s="34"/>
      <c r="CQ1204" s="34"/>
      <c r="CR1204" s="34"/>
      <c r="CS1204" s="34"/>
    </row>
    <row r="1205">
      <c r="A1205" s="34"/>
      <c r="B1205" s="3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  <c r="CM1205" s="34"/>
      <c r="CN1205" s="34"/>
      <c r="CO1205" s="34"/>
      <c r="CP1205" s="34"/>
      <c r="CQ1205" s="34"/>
      <c r="CR1205" s="34"/>
      <c r="CS1205" s="34"/>
    </row>
    <row r="1206">
      <c r="A1206" s="34"/>
      <c r="B1206" s="3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  <c r="CM1206" s="34"/>
      <c r="CN1206" s="34"/>
      <c r="CO1206" s="34"/>
      <c r="CP1206" s="34"/>
      <c r="CQ1206" s="34"/>
      <c r="CR1206" s="34"/>
      <c r="CS1206" s="34"/>
    </row>
    <row r="1207">
      <c r="A1207" s="34"/>
      <c r="B1207" s="3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  <c r="CM1207" s="34"/>
      <c r="CN1207" s="34"/>
      <c r="CO1207" s="34"/>
      <c r="CP1207" s="34"/>
      <c r="CQ1207" s="34"/>
      <c r="CR1207" s="34"/>
      <c r="CS1207" s="34"/>
    </row>
    <row r="1208">
      <c r="A1208" s="34"/>
      <c r="B1208" s="3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  <c r="CM1208" s="34"/>
      <c r="CN1208" s="34"/>
      <c r="CO1208" s="34"/>
      <c r="CP1208" s="34"/>
      <c r="CQ1208" s="34"/>
      <c r="CR1208" s="34"/>
      <c r="CS1208" s="34"/>
    </row>
    <row r="1209">
      <c r="A1209" s="34"/>
      <c r="B1209" s="3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  <c r="CM1209" s="34"/>
      <c r="CN1209" s="34"/>
      <c r="CO1209" s="34"/>
      <c r="CP1209" s="34"/>
      <c r="CQ1209" s="34"/>
      <c r="CR1209" s="34"/>
      <c r="CS1209" s="34"/>
    </row>
    <row r="1210">
      <c r="A1210" s="34"/>
      <c r="B1210" s="3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  <c r="CM1210" s="34"/>
      <c r="CN1210" s="34"/>
      <c r="CO1210" s="34"/>
      <c r="CP1210" s="34"/>
      <c r="CQ1210" s="34"/>
      <c r="CR1210" s="34"/>
      <c r="CS1210" s="34"/>
    </row>
    <row r="1211">
      <c r="A1211" s="34"/>
      <c r="B1211" s="3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  <c r="CM1211" s="34"/>
      <c r="CN1211" s="34"/>
      <c r="CO1211" s="34"/>
      <c r="CP1211" s="34"/>
      <c r="CQ1211" s="34"/>
      <c r="CR1211" s="34"/>
      <c r="CS1211" s="34"/>
    </row>
    <row r="1212">
      <c r="A1212" s="34"/>
      <c r="B1212" s="3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  <c r="CM1212" s="34"/>
      <c r="CN1212" s="34"/>
      <c r="CO1212" s="34"/>
      <c r="CP1212" s="34"/>
      <c r="CQ1212" s="34"/>
      <c r="CR1212" s="34"/>
      <c r="CS1212" s="34"/>
    </row>
    <row r="1213">
      <c r="A1213" s="34"/>
      <c r="B1213" s="3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  <c r="CM1213" s="34"/>
      <c r="CN1213" s="34"/>
      <c r="CO1213" s="34"/>
      <c r="CP1213" s="34"/>
      <c r="CQ1213" s="34"/>
      <c r="CR1213" s="34"/>
      <c r="CS1213" s="34"/>
    </row>
    <row r="1214">
      <c r="A1214" s="34"/>
      <c r="B1214" s="3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  <c r="CM1214" s="34"/>
      <c r="CN1214" s="34"/>
      <c r="CO1214" s="34"/>
      <c r="CP1214" s="34"/>
      <c r="CQ1214" s="34"/>
      <c r="CR1214" s="34"/>
      <c r="CS1214" s="34"/>
    </row>
    <row r="1215">
      <c r="A1215" s="34"/>
      <c r="B1215" s="3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  <c r="CM1215" s="34"/>
      <c r="CN1215" s="34"/>
      <c r="CO1215" s="34"/>
      <c r="CP1215" s="34"/>
      <c r="CQ1215" s="34"/>
      <c r="CR1215" s="34"/>
      <c r="CS1215" s="34"/>
    </row>
    <row r="1216">
      <c r="A1216" s="34"/>
      <c r="B1216" s="3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  <c r="CM1216" s="34"/>
      <c r="CN1216" s="34"/>
      <c r="CO1216" s="34"/>
      <c r="CP1216" s="34"/>
      <c r="CQ1216" s="34"/>
      <c r="CR1216" s="34"/>
      <c r="CS1216" s="34"/>
    </row>
    <row r="1217">
      <c r="A1217" s="34"/>
      <c r="B1217" s="3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  <c r="CM1217" s="34"/>
      <c r="CN1217" s="34"/>
      <c r="CO1217" s="34"/>
      <c r="CP1217" s="34"/>
      <c r="CQ1217" s="34"/>
      <c r="CR1217" s="34"/>
      <c r="CS1217" s="34"/>
    </row>
    <row r="1218">
      <c r="A1218" s="34"/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  <c r="CM1218" s="34"/>
      <c r="CN1218" s="34"/>
      <c r="CO1218" s="34"/>
      <c r="CP1218" s="34"/>
      <c r="CQ1218" s="34"/>
      <c r="CR1218" s="34"/>
      <c r="CS1218" s="34"/>
    </row>
    <row r="1219">
      <c r="A1219" s="34"/>
      <c r="B1219" s="3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  <c r="CM1219" s="34"/>
      <c r="CN1219" s="34"/>
      <c r="CO1219" s="34"/>
      <c r="CP1219" s="34"/>
      <c r="CQ1219" s="34"/>
      <c r="CR1219" s="34"/>
      <c r="CS1219" s="34"/>
    </row>
    <row r="1220">
      <c r="A1220" s="34"/>
      <c r="B1220" s="3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  <c r="CM1220" s="34"/>
      <c r="CN1220" s="34"/>
      <c r="CO1220" s="34"/>
      <c r="CP1220" s="34"/>
      <c r="CQ1220" s="34"/>
      <c r="CR1220" s="34"/>
      <c r="CS1220" s="34"/>
    </row>
    <row r="1221">
      <c r="A1221" s="34"/>
      <c r="B1221" s="3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  <c r="CM1221" s="34"/>
      <c r="CN1221" s="34"/>
      <c r="CO1221" s="34"/>
      <c r="CP1221" s="34"/>
      <c r="CQ1221" s="34"/>
      <c r="CR1221" s="34"/>
      <c r="CS1221" s="34"/>
    </row>
    <row r="1222">
      <c r="A1222" s="34"/>
      <c r="B1222" s="3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  <c r="CM1222" s="34"/>
      <c r="CN1222" s="34"/>
      <c r="CO1222" s="34"/>
      <c r="CP1222" s="34"/>
      <c r="CQ1222" s="34"/>
      <c r="CR1222" s="34"/>
      <c r="CS1222" s="34"/>
    </row>
    <row r="1223">
      <c r="A1223" s="34"/>
      <c r="B1223" s="3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  <c r="CM1223" s="34"/>
      <c r="CN1223" s="34"/>
      <c r="CO1223" s="34"/>
      <c r="CP1223" s="34"/>
      <c r="CQ1223" s="34"/>
      <c r="CR1223" s="34"/>
      <c r="CS1223" s="34"/>
    </row>
    <row r="1224">
      <c r="A1224" s="34"/>
      <c r="B1224" s="3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  <c r="CM1224" s="34"/>
      <c r="CN1224" s="34"/>
      <c r="CO1224" s="34"/>
      <c r="CP1224" s="34"/>
      <c r="CQ1224" s="34"/>
      <c r="CR1224" s="34"/>
      <c r="CS1224" s="34"/>
    </row>
    <row r="1225">
      <c r="A1225" s="34"/>
      <c r="B1225" s="3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  <c r="CM1225" s="34"/>
      <c r="CN1225" s="34"/>
      <c r="CO1225" s="34"/>
      <c r="CP1225" s="34"/>
      <c r="CQ1225" s="34"/>
      <c r="CR1225" s="34"/>
      <c r="CS1225" s="34"/>
    </row>
    <row r="1226">
      <c r="A1226" s="34"/>
      <c r="B1226" s="3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  <c r="CM1226" s="34"/>
      <c r="CN1226" s="34"/>
      <c r="CO1226" s="34"/>
      <c r="CP1226" s="34"/>
      <c r="CQ1226" s="34"/>
      <c r="CR1226" s="34"/>
      <c r="CS1226" s="34"/>
    </row>
    <row r="1227">
      <c r="A1227" s="34"/>
      <c r="B1227" s="3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  <c r="CM1227" s="34"/>
      <c r="CN1227" s="34"/>
      <c r="CO1227" s="34"/>
      <c r="CP1227" s="34"/>
      <c r="CQ1227" s="34"/>
      <c r="CR1227" s="34"/>
      <c r="CS1227" s="34"/>
    </row>
    <row r="1228">
      <c r="A1228" s="34"/>
      <c r="B1228" s="3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  <c r="CM1228" s="34"/>
      <c r="CN1228" s="34"/>
      <c r="CO1228" s="34"/>
      <c r="CP1228" s="34"/>
      <c r="CQ1228" s="34"/>
      <c r="CR1228" s="34"/>
      <c r="CS1228" s="34"/>
    </row>
    <row r="1229">
      <c r="A1229" s="34"/>
      <c r="B1229" s="3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  <c r="CM1229" s="34"/>
      <c r="CN1229" s="34"/>
      <c r="CO1229" s="34"/>
      <c r="CP1229" s="34"/>
      <c r="CQ1229" s="34"/>
      <c r="CR1229" s="34"/>
      <c r="CS1229" s="34"/>
    </row>
    <row r="1230">
      <c r="A1230" s="34"/>
      <c r="B1230" s="3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  <c r="CM1230" s="34"/>
      <c r="CN1230" s="34"/>
      <c r="CO1230" s="34"/>
      <c r="CP1230" s="34"/>
      <c r="CQ1230" s="34"/>
      <c r="CR1230" s="34"/>
      <c r="CS1230" s="34"/>
    </row>
    <row r="1231">
      <c r="A1231" s="34"/>
      <c r="B1231" s="3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  <c r="CM1231" s="34"/>
      <c r="CN1231" s="34"/>
      <c r="CO1231" s="34"/>
      <c r="CP1231" s="34"/>
      <c r="CQ1231" s="34"/>
      <c r="CR1231" s="34"/>
      <c r="CS1231" s="34"/>
    </row>
    <row r="1232">
      <c r="A1232" s="34"/>
      <c r="B1232" s="3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  <c r="CM1232" s="34"/>
      <c r="CN1232" s="34"/>
      <c r="CO1232" s="34"/>
      <c r="CP1232" s="34"/>
      <c r="CQ1232" s="34"/>
      <c r="CR1232" s="34"/>
      <c r="CS1232" s="34"/>
    </row>
    <row r="1233">
      <c r="A1233" s="34"/>
      <c r="B1233" s="3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  <c r="CM1233" s="34"/>
      <c r="CN1233" s="34"/>
      <c r="CO1233" s="34"/>
      <c r="CP1233" s="34"/>
      <c r="CQ1233" s="34"/>
      <c r="CR1233" s="34"/>
      <c r="CS1233" s="34"/>
    </row>
    <row r="1234">
      <c r="A1234" s="34"/>
      <c r="B1234" s="3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  <c r="CM1234" s="34"/>
      <c r="CN1234" s="34"/>
      <c r="CO1234" s="34"/>
      <c r="CP1234" s="34"/>
      <c r="CQ1234" s="34"/>
      <c r="CR1234" s="34"/>
      <c r="CS1234" s="34"/>
    </row>
    <row r="1235">
      <c r="A1235" s="34"/>
      <c r="B1235" s="3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  <c r="CM1235" s="34"/>
      <c r="CN1235" s="34"/>
      <c r="CO1235" s="34"/>
      <c r="CP1235" s="34"/>
      <c r="CQ1235" s="34"/>
      <c r="CR1235" s="34"/>
      <c r="CS1235" s="34"/>
    </row>
    <row r="1236">
      <c r="A1236" s="34"/>
      <c r="B1236" s="3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  <c r="CM1236" s="34"/>
      <c r="CN1236" s="34"/>
      <c r="CO1236" s="34"/>
      <c r="CP1236" s="34"/>
      <c r="CQ1236" s="34"/>
      <c r="CR1236" s="34"/>
      <c r="CS1236" s="34"/>
    </row>
    <row r="1237">
      <c r="A1237" s="34"/>
      <c r="B1237" s="3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  <c r="CM1237" s="34"/>
      <c r="CN1237" s="34"/>
      <c r="CO1237" s="34"/>
      <c r="CP1237" s="34"/>
      <c r="CQ1237" s="34"/>
      <c r="CR1237" s="34"/>
      <c r="CS1237" s="34"/>
    </row>
    <row r="1238">
      <c r="A1238" s="34"/>
      <c r="B1238" s="3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  <c r="CM1238" s="34"/>
      <c r="CN1238" s="34"/>
      <c r="CO1238" s="34"/>
      <c r="CP1238" s="34"/>
      <c r="CQ1238" s="34"/>
      <c r="CR1238" s="34"/>
      <c r="CS1238" s="34"/>
    </row>
    <row r="1239">
      <c r="A1239" s="34"/>
      <c r="B1239" s="3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  <c r="CM1239" s="34"/>
      <c r="CN1239" s="34"/>
      <c r="CO1239" s="34"/>
      <c r="CP1239" s="34"/>
      <c r="CQ1239" s="34"/>
      <c r="CR1239" s="34"/>
      <c r="CS1239" s="34"/>
    </row>
    <row r="1240">
      <c r="A1240" s="34"/>
      <c r="B1240" s="3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  <c r="CM1240" s="34"/>
      <c r="CN1240" s="34"/>
      <c r="CO1240" s="34"/>
      <c r="CP1240" s="34"/>
      <c r="CQ1240" s="34"/>
      <c r="CR1240" s="34"/>
      <c r="CS1240" s="34"/>
    </row>
    <row r="1241">
      <c r="A1241" s="34"/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  <c r="CM1241" s="34"/>
      <c r="CN1241" s="34"/>
      <c r="CO1241" s="34"/>
      <c r="CP1241" s="34"/>
      <c r="CQ1241" s="34"/>
      <c r="CR1241" s="34"/>
      <c r="CS1241" s="34"/>
    </row>
    <row r="1242">
      <c r="A1242" s="34"/>
      <c r="B1242" s="3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  <c r="CM1242" s="34"/>
      <c r="CN1242" s="34"/>
      <c r="CO1242" s="34"/>
      <c r="CP1242" s="34"/>
      <c r="CQ1242" s="34"/>
      <c r="CR1242" s="34"/>
      <c r="CS1242" s="34"/>
    </row>
    <row r="1243">
      <c r="A1243" s="34"/>
      <c r="B1243" s="3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  <c r="CM1243" s="34"/>
      <c r="CN1243" s="34"/>
      <c r="CO1243" s="34"/>
      <c r="CP1243" s="34"/>
      <c r="CQ1243" s="34"/>
      <c r="CR1243" s="34"/>
      <c r="CS1243" s="34"/>
    </row>
    <row r="1244">
      <c r="A1244" s="34"/>
      <c r="B1244" s="3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  <c r="CM1244" s="34"/>
      <c r="CN1244" s="34"/>
      <c r="CO1244" s="34"/>
      <c r="CP1244" s="34"/>
      <c r="CQ1244" s="34"/>
      <c r="CR1244" s="34"/>
      <c r="CS1244" s="34"/>
    </row>
    <row r="1245">
      <c r="A1245" s="34"/>
      <c r="B1245" s="3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  <c r="CM1245" s="34"/>
      <c r="CN1245" s="34"/>
      <c r="CO1245" s="34"/>
      <c r="CP1245" s="34"/>
      <c r="CQ1245" s="34"/>
      <c r="CR1245" s="34"/>
      <c r="CS1245" s="34"/>
    </row>
    <row r="1246">
      <c r="A1246" s="34"/>
      <c r="B1246" s="3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  <c r="CM1246" s="34"/>
      <c r="CN1246" s="34"/>
      <c r="CO1246" s="34"/>
      <c r="CP1246" s="34"/>
      <c r="CQ1246" s="34"/>
      <c r="CR1246" s="34"/>
      <c r="CS1246" s="34"/>
    </row>
    <row r="1247">
      <c r="A1247" s="34"/>
      <c r="B1247" s="3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  <c r="CM1247" s="34"/>
      <c r="CN1247" s="34"/>
      <c r="CO1247" s="34"/>
      <c r="CP1247" s="34"/>
      <c r="CQ1247" s="34"/>
      <c r="CR1247" s="34"/>
      <c r="CS1247" s="34"/>
    </row>
    <row r="1248">
      <c r="A1248" s="34"/>
      <c r="B1248" s="3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  <c r="CM1248" s="34"/>
      <c r="CN1248" s="34"/>
      <c r="CO1248" s="34"/>
      <c r="CP1248" s="34"/>
      <c r="CQ1248" s="34"/>
      <c r="CR1248" s="34"/>
      <c r="CS1248" s="34"/>
    </row>
    <row r="1249">
      <c r="A1249" s="34"/>
      <c r="B1249" s="3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  <c r="CM1249" s="34"/>
      <c r="CN1249" s="34"/>
      <c r="CO1249" s="34"/>
      <c r="CP1249" s="34"/>
      <c r="CQ1249" s="34"/>
      <c r="CR1249" s="34"/>
      <c r="CS1249" s="34"/>
    </row>
    <row r="1250">
      <c r="A1250" s="34"/>
      <c r="B1250" s="3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  <c r="CM1250" s="34"/>
      <c r="CN1250" s="34"/>
      <c r="CO1250" s="34"/>
      <c r="CP1250" s="34"/>
      <c r="CQ1250" s="34"/>
      <c r="CR1250" s="34"/>
      <c r="CS1250" s="34"/>
    </row>
    <row r="1251">
      <c r="A1251" s="34"/>
      <c r="B1251" s="3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  <c r="CM1251" s="34"/>
      <c r="CN1251" s="34"/>
      <c r="CO1251" s="34"/>
      <c r="CP1251" s="34"/>
      <c r="CQ1251" s="34"/>
      <c r="CR1251" s="34"/>
      <c r="CS1251" s="34"/>
    </row>
    <row r="1252">
      <c r="A1252" s="34"/>
      <c r="B1252" s="3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  <c r="CM1252" s="34"/>
      <c r="CN1252" s="34"/>
      <c r="CO1252" s="34"/>
      <c r="CP1252" s="34"/>
      <c r="CQ1252" s="34"/>
      <c r="CR1252" s="34"/>
      <c r="CS1252" s="34"/>
    </row>
    <row r="1253">
      <c r="A1253" s="34"/>
      <c r="B1253" s="3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  <c r="CM1253" s="34"/>
      <c r="CN1253" s="34"/>
      <c r="CO1253" s="34"/>
      <c r="CP1253" s="34"/>
      <c r="CQ1253" s="34"/>
      <c r="CR1253" s="34"/>
      <c r="CS1253" s="34"/>
    </row>
    <row r="1254">
      <c r="A1254" s="34"/>
      <c r="B1254" s="3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  <c r="CM1254" s="34"/>
      <c r="CN1254" s="34"/>
      <c r="CO1254" s="34"/>
      <c r="CP1254" s="34"/>
      <c r="CQ1254" s="34"/>
      <c r="CR1254" s="34"/>
      <c r="CS1254" s="34"/>
    </row>
    <row r="1255">
      <c r="A1255" s="34"/>
      <c r="B1255" s="3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  <c r="CM1255" s="34"/>
      <c r="CN1255" s="34"/>
      <c r="CO1255" s="34"/>
      <c r="CP1255" s="34"/>
      <c r="CQ1255" s="34"/>
      <c r="CR1255" s="34"/>
      <c r="CS1255" s="34"/>
    </row>
    <row r="1256">
      <c r="A1256" s="34"/>
      <c r="B1256" s="3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  <c r="CM1256" s="34"/>
      <c r="CN1256" s="34"/>
      <c r="CO1256" s="34"/>
      <c r="CP1256" s="34"/>
      <c r="CQ1256" s="34"/>
      <c r="CR1256" s="34"/>
      <c r="CS1256" s="34"/>
    </row>
    <row r="1257">
      <c r="A1257" s="34"/>
      <c r="B1257" s="3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  <c r="CM1257" s="34"/>
      <c r="CN1257" s="34"/>
      <c r="CO1257" s="34"/>
      <c r="CP1257" s="34"/>
      <c r="CQ1257" s="34"/>
      <c r="CR1257" s="34"/>
      <c r="CS1257" s="34"/>
    </row>
    <row r="1258">
      <c r="A1258" s="34"/>
      <c r="B1258" s="3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  <c r="CM1258" s="34"/>
      <c r="CN1258" s="34"/>
      <c r="CO1258" s="34"/>
      <c r="CP1258" s="34"/>
      <c r="CQ1258" s="34"/>
      <c r="CR1258" s="34"/>
      <c r="CS1258" s="34"/>
    </row>
    <row r="1259">
      <c r="A1259" s="34"/>
      <c r="B1259" s="3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  <c r="CM1259" s="34"/>
      <c r="CN1259" s="34"/>
      <c r="CO1259" s="34"/>
      <c r="CP1259" s="34"/>
      <c r="CQ1259" s="34"/>
      <c r="CR1259" s="34"/>
      <c r="CS1259" s="34"/>
    </row>
    <row r="1260">
      <c r="A1260" s="34"/>
      <c r="B1260" s="3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  <c r="CM1260" s="34"/>
      <c r="CN1260" s="34"/>
      <c r="CO1260" s="34"/>
      <c r="CP1260" s="34"/>
      <c r="CQ1260" s="34"/>
      <c r="CR1260" s="34"/>
      <c r="CS1260" s="34"/>
    </row>
    <row r="1261">
      <c r="A1261" s="34"/>
      <c r="B1261" s="3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  <c r="CM1261" s="34"/>
      <c r="CN1261" s="34"/>
      <c r="CO1261" s="34"/>
      <c r="CP1261" s="34"/>
      <c r="CQ1261" s="34"/>
      <c r="CR1261" s="34"/>
      <c r="CS1261" s="34"/>
    </row>
    <row r="1262">
      <c r="A1262" s="34"/>
      <c r="B1262" s="3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  <c r="CM1262" s="34"/>
      <c r="CN1262" s="34"/>
      <c r="CO1262" s="34"/>
      <c r="CP1262" s="34"/>
      <c r="CQ1262" s="34"/>
      <c r="CR1262" s="34"/>
      <c r="CS1262" s="34"/>
    </row>
    <row r="1263">
      <c r="A1263" s="34"/>
      <c r="B1263" s="3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  <c r="CM1263" s="34"/>
      <c r="CN1263" s="34"/>
      <c r="CO1263" s="34"/>
      <c r="CP1263" s="34"/>
      <c r="CQ1263" s="34"/>
      <c r="CR1263" s="34"/>
      <c r="CS1263" s="34"/>
    </row>
    <row r="1264">
      <c r="A1264" s="34"/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  <c r="CM1264" s="34"/>
      <c r="CN1264" s="34"/>
      <c r="CO1264" s="34"/>
      <c r="CP1264" s="34"/>
      <c r="CQ1264" s="34"/>
      <c r="CR1264" s="34"/>
      <c r="CS1264" s="34"/>
    </row>
    <row r="1265">
      <c r="A1265" s="34"/>
      <c r="B1265" s="3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  <c r="CM1265" s="34"/>
      <c r="CN1265" s="34"/>
      <c r="CO1265" s="34"/>
      <c r="CP1265" s="34"/>
      <c r="CQ1265" s="34"/>
      <c r="CR1265" s="34"/>
      <c r="CS1265" s="34"/>
    </row>
    <row r="1266">
      <c r="A1266" s="34"/>
      <c r="B1266" s="3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  <c r="CM1266" s="34"/>
      <c r="CN1266" s="34"/>
      <c r="CO1266" s="34"/>
      <c r="CP1266" s="34"/>
      <c r="CQ1266" s="34"/>
      <c r="CR1266" s="34"/>
      <c r="CS1266" s="34"/>
    </row>
    <row r="1267">
      <c r="A1267" s="34"/>
      <c r="B1267" s="3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  <c r="CM1267" s="34"/>
      <c r="CN1267" s="34"/>
      <c r="CO1267" s="34"/>
      <c r="CP1267" s="34"/>
      <c r="CQ1267" s="34"/>
      <c r="CR1267" s="34"/>
      <c r="CS1267" s="34"/>
    </row>
    <row r="1268">
      <c r="A1268" s="34"/>
      <c r="B1268" s="3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  <c r="CM1268" s="34"/>
      <c r="CN1268" s="34"/>
      <c r="CO1268" s="34"/>
      <c r="CP1268" s="34"/>
      <c r="CQ1268" s="34"/>
      <c r="CR1268" s="34"/>
      <c r="CS1268" s="34"/>
    </row>
    <row r="1269">
      <c r="A1269" s="34"/>
      <c r="B1269" s="3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  <c r="CM1269" s="34"/>
      <c r="CN1269" s="34"/>
      <c r="CO1269" s="34"/>
      <c r="CP1269" s="34"/>
      <c r="CQ1269" s="34"/>
      <c r="CR1269" s="34"/>
      <c r="CS1269" s="34"/>
    </row>
    <row r="1270">
      <c r="A1270" s="34"/>
      <c r="B1270" s="3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  <c r="CM1270" s="34"/>
      <c r="CN1270" s="34"/>
      <c r="CO1270" s="34"/>
      <c r="CP1270" s="34"/>
      <c r="CQ1270" s="34"/>
      <c r="CR1270" s="34"/>
      <c r="CS1270" s="34"/>
    </row>
    <row r="1271">
      <c r="A1271" s="34"/>
      <c r="B1271" s="3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  <c r="CM1271" s="34"/>
      <c r="CN1271" s="34"/>
      <c r="CO1271" s="34"/>
      <c r="CP1271" s="34"/>
      <c r="CQ1271" s="34"/>
      <c r="CR1271" s="34"/>
      <c r="CS1271" s="34"/>
    </row>
    <row r="1272">
      <c r="A1272" s="34"/>
      <c r="B1272" s="3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  <c r="CM1272" s="34"/>
      <c r="CN1272" s="34"/>
      <c r="CO1272" s="34"/>
      <c r="CP1272" s="34"/>
      <c r="CQ1272" s="34"/>
      <c r="CR1272" s="34"/>
      <c r="CS1272" s="34"/>
    </row>
    <row r="1273">
      <c r="A1273" s="34"/>
      <c r="B1273" s="3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  <c r="CM1273" s="34"/>
      <c r="CN1273" s="34"/>
      <c r="CO1273" s="34"/>
      <c r="CP1273" s="34"/>
      <c r="CQ1273" s="34"/>
      <c r="CR1273" s="34"/>
      <c r="CS1273" s="34"/>
    </row>
    <row r="1274">
      <c r="A1274" s="34"/>
      <c r="B1274" s="3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  <c r="CM1274" s="34"/>
      <c r="CN1274" s="34"/>
      <c r="CO1274" s="34"/>
      <c r="CP1274" s="34"/>
      <c r="CQ1274" s="34"/>
      <c r="CR1274" s="34"/>
      <c r="CS1274" s="34"/>
    </row>
    <row r="1275">
      <c r="A1275" s="34"/>
      <c r="B1275" s="3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  <c r="CM1275" s="34"/>
      <c r="CN1275" s="34"/>
      <c r="CO1275" s="34"/>
      <c r="CP1275" s="34"/>
      <c r="CQ1275" s="34"/>
      <c r="CR1275" s="34"/>
      <c r="CS1275" s="34"/>
    </row>
    <row r="1276">
      <c r="A1276" s="34"/>
      <c r="B1276" s="3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  <c r="CM1276" s="34"/>
      <c r="CN1276" s="34"/>
      <c r="CO1276" s="34"/>
      <c r="CP1276" s="34"/>
      <c r="CQ1276" s="34"/>
      <c r="CR1276" s="34"/>
      <c r="CS1276" s="34"/>
    </row>
    <row r="1277">
      <c r="A1277" s="34"/>
      <c r="B1277" s="3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  <c r="CM1277" s="34"/>
      <c r="CN1277" s="34"/>
      <c r="CO1277" s="34"/>
      <c r="CP1277" s="34"/>
      <c r="CQ1277" s="34"/>
      <c r="CR1277" s="34"/>
      <c r="CS1277" s="34"/>
    </row>
    <row r="1278">
      <c r="A1278" s="34"/>
      <c r="B1278" s="3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  <c r="CM1278" s="34"/>
      <c r="CN1278" s="34"/>
      <c r="CO1278" s="34"/>
      <c r="CP1278" s="34"/>
      <c r="CQ1278" s="34"/>
      <c r="CR1278" s="34"/>
      <c r="CS1278" s="34"/>
    </row>
    <row r="1279">
      <c r="A1279" s="34"/>
      <c r="B1279" s="3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  <c r="CM1279" s="34"/>
      <c r="CN1279" s="34"/>
      <c r="CO1279" s="34"/>
      <c r="CP1279" s="34"/>
      <c r="CQ1279" s="34"/>
      <c r="CR1279" s="34"/>
      <c r="CS1279" s="34"/>
    </row>
    <row r="1280">
      <c r="A1280" s="34"/>
      <c r="B1280" s="3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  <c r="CM1280" s="34"/>
      <c r="CN1280" s="34"/>
      <c r="CO1280" s="34"/>
      <c r="CP1280" s="34"/>
      <c r="CQ1280" s="34"/>
      <c r="CR1280" s="34"/>
      <c r="CS1280" s="34"/>
    </row>
    <row r="1281">
      <c r="A1281" s="34"/>
      <c r="B1281" s="3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  <c r="CM1281" s="34"/>
      <c r="CN1281" s="34"/>
      <c r="CO1281" s="34"/>
      <c r="CP1281" s="34"/>
      <c r="CQ1281" s="34"/>
      <c r="CR1281" s="34"/>
      <c r="CS1281" s="34"/>
    </row>
    <row r="1282">
      <c r="A1282" s="34"/>
      <c r="B1282" s="3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  <c r="CM1282" s="34"/>
      <c r="CN1282" s="34"/>
      <c r="CO1282" s="34"/>
      <c r="CP1282" s="34"/>
      <c r="CQ1282" s="34"/>
      <c r="CR1282" s="34"/>
      <c r="CS1282" s="34"/>
    </row>
    <row r="1283">
      <c r="A1283" s="34"/>
      <c r="B1283" s="3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  <c r="CM1283" s="34"/>
      <c r="CN1283" s="34"/>
      <c r="CO1283" s="34"/>
      <c r="CP1283" s="34"/>
      <c r="CQ1283" s="34"/>
      <c r="CR1283" s="34"/>
      <c r="CS1283" s="34"/>
    </row>
    <row r="1284">
      <c r="A1284" s="34"/>
      <c r="B1284" s="3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  <c r="CM1284" s="34"/>
      <c r="CN1284" s="34"/>
      <c r="CO1284" s="34"/>
      <c r="CP1284" s="34"/>
      <c r="CQ1284" s="34"/>
      <c r="CR1284" s="34"/>
      <c r="CS1284" s="34"/>
    </row>
    <row r="1285">
      <c r="A1285" s="34"/>
      <c r="B1285" s="3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  <c r="CM1285" s="34"/>
      <c r="CN1285" s="34"/>
      <c r="CO1285" s="34"/>
      <c r="CP1285" s="34"/>
      <c r="CQ1285" s="34"/>
      <c r="CR1285" s="34"/>
      <c r="CS1285" s="34"/>
    </row>
    <row r="1286">
      <c r="A1286" s="34"/>
      <c r="B1286" s="3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  <c r="CM1286" s="34"/>
      <c r="CN1286" s="34"/>
      <c r="CO1286" s="34"/>
      <c r="CP1286" s="34"/>
      <c r="CQ1286" s="34"/>
      <c r="CR1286" s="34"/>
      <c r="CS1286" s="34"/>
    </row>
    <row r="1287">
      <c r="A1287" s="34"/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  <c r="CM1287" s="34"/>
      <c r="CN1287" s="34"/>
      <c r="CO1287" s="34"/>
      <c r="CP1287" s="34"/>
      <c r="CQ1287" s="34"/>
      <c r="CR1287" s="34"/>
      <c r="CS1287" s="34"/>
    </row>
    <row r="1288">
      <c r="A1288" s="34"/>
      <c r="B1288" s="3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  <c r="CM1288" s="34"/>
      <c r="CN1288" s="34"/>
      <c r="CO1288" s="34"/>
      <c r="CP1288" s="34"/>
      <c r="CQ1288" s="34"/>
      <c r="CR1288" s="34"/>
      <c r="CS1288" s="34"/>
    </row>
    <row r="1289">
      <c r="A1289" s="34"/>
      <c r="B1289" s="3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  <c r="CM1289" s="34"/>
      <c r="CN1289" s="34"/>
      <c r="CO1289" s="34"/>
      <c r="CP1289" s="34"/>
      <c r="CQ1289" s="34"/>
      <c r="CR1289" s="34"/>
      <c r="CS1289" s="34"/>
    </row>
    <row r="1290">
      <c r="A1290" s="34"/>
      <c r="B1290" s="3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  <c r="CM1290" s="34"/>
      <c r="CN1290" s="34"/>
      <c r="CO1290" s="34"/>
      <c r="CP1290" s="34"/>
      <c r="CQ1290" s="34"/>
      <c r="CR1290" s="34"/>
      <c r="CS1290" s="34"/>
    </row>
    <row r="1291">
      <c r="A1291" s="34"/>
      <c r="B1291" s="3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  <c r="CM1291" s="34"/>
      <c r="CN1291" s="34"/>
      <c r="CO1291" s="34"/>
      <c r="CP1291" s="34"/>
      <c r="CQ1291" s="34"/>
      <c r="CR1291" s="34"/>
      <c r="CS1291" s="34"/>
    </row>
    <row r="1292">
      <c r="A1292" s="34"/>
      <c r="B1292" s="3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  <c r="CM1292" s="34"/>
      <c r="CN1292" s="34"/>
      <c r="CO1292" s="34"/>
      <c r="CP1292" s="34"/>
      <c r="CQ1292" s="34"/>
      <c r="CR1292" s="34"/>
      <c r="CS1292" s="34"/>
    </row>
    <row r="1293">
      <c r="A1293" s="34"/>
      <c r="B1293" s="3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  <c r="CM1293" s="34"/>
      <c r="CN1293" s="34"/>
      <c r="CO1293" s="34"/>
      <c r="CP1293" s="34"/>
      <c r="CQ1293" s="34"/>
      <c r="CR1293" s="34"/>
      <c r="CS1293" s="34"/>
    </row>
    <row r="1294">
      <c r="A1294" s="34"/>
      <c r="B1294" s="3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  <c r="CM1294" s="34"/>
      <c r="CN1294" s="34"/>
      <c r="CO1294" s="34"/>
      <c r="CP1294" s="34"/>
      <c r="CQ1294" s="34"/>
      <c r="CR1294" s="34"/>
      <c r="CS1294" s="34"/>
    </row>
    <row r="1295">
      <c r="A1295" s="34"/>
      <c r="B1295" s="3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  <c r="CM1295" s="34"/>
      <c r="CN1295" s="34"/>
      <c r="CO1295" s="34"/>
      <c r="CP1295" s="34"/>
      <c r="CQ1295" s="34"/>
      <c r="CR1295" s="34"/>
      <c r="CS1295" s="34"/>
    </row>
    <row r="1296">
      <c r="A1296" s="34"/>
      <c r="B1296" s="3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  <c r="CM1296" s="34"/>
      <c r="CN1296" s="34"/>
      <c r="CO1296" s="34"/>
      <c r="CP1296" s="34"/>
      <c r="CQ1296" s="34"/>
      <c r="CR1296" s="34"/>
      <c r="CS1296" s="34"/>
    </row>
    <row r="1297">
      <c r="A1297" s="34"/>
      <c r="B1297" s="3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  <c r="CM1297" s="34"/>
      <c r="CN1297" s="34"/>
      <c r="CO1297" s="34"/>
      <c r="CP1297" s="34"/>
      <c r="CQ1297" s="34"/>
      <c r="CR1297" s="34"/>
      <c r="CS1297" s="34"/>
    </row>
    <row r="1298">
      <c r="A1298" s="34"/>
      <c r="B1298" s="3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  <c r="CM1298" s="34"/>
      <c r="CN1298" s="34"/>
      <c r="CO1298" s="34"/>
      <c r="CP1298" s="34"/>
      <c r="CQ1298" s="34"/>
      <c r="CR1298" s="34"/>
      <c r="CS1298" s="34"/>
    </row>
    <row r="1299">
      <c r="A1299" s="34"/>
      <c r="B1299" s="3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  <c r="CM1299" s="34"/>
      <c r="CN1299" s="34"/>
      <c r="CO1299" s="34"/>
      <c r="CP1299" s="34"/>
      <c r="CQ1299" s="34"/>
      <c r="CR1299" s="34"/>
      <c r="CS1299" s="34"/>
    </row>
    <row r="1300">
      <c r="A1300" s="34"/>
      <c r="B1300" s="3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  <c r="CM1300" s="34"/>
      <c r="CN1300" s="34"/>
      <c r="CO1300" s="34"/>
      <c r="CP1300" s="34"/>
      <c r="CQ1300" s="34"/>
      <c r="CR1300" s="34"/>
      <c r="CS1300" s="34"/>
    </row>
    <row r="1301">
      <c r="A1301" s="34"/>
      <c r="B1301" s="3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  <c r="CM1301" s="34"/>
      <c r="CN1301" s="34"/>
      <c r="CO1301" s="34"/>
      <c r="CP1301" s="34"/>
      <c r="CQ1301" s="34"/>
      <c r="CR1301" s="34"/>
      <c r="CS1301" s="34"/>
    </row>
    <row r="1302">
      <c r="A1302" s="34"/>
      <c r="B1302" s="3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  <c r="CM1302" s="34"/>
      <c r="CN1302" s="34"/>
      <c r="CO1302" s="34"/>
      <c r="CP1302" s="34"/>
      <c r="CQ1302" s="34"/>
      <c r="CR1302" s="34"/>
      <c r="CS1302" s="34"/>
    </row>
    <row r="1303">
      <c r="A1303" s="34"/>
      <c r="B1303" s="3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  <c r="CM1303" s="34"/>
      <c r="CN1303" s="34"/>
      <c r="CO1303" s="34"/>
      <c r="CP1303" s="34"/>
      <c r="CQ1303" s="34"/>
      <c r="CR1303" s="34"/>
      <c r="CS1303" s="34"/>
    </row>
    <row r="1304">
      <c r="A1304" s="34"/>
      <c r="B1304" s="3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  <c r="CM1304" s="34"/>
      <c r="CN1304" s="34"/>
      <c r="CO1304" s="34"/>
      <c r="CP1304" s="34"/>
      <c r="CQ1304" s="34"/>
      <c r="CR1304" s="34"/>
      <c r="CS1304" s="34"/>
    </row>
    <row r="1305">
      <c r="A1305" s="34"/>
      <c r="B1305" s="3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  <c r="CM1305" s="34"/>
      <c r="CN1305" s="34"/>
      <c r="CO1305" s="34"/>
      <c r="CP1305" s="34"/>
      <c r="CQ1305" s="34"/>
      <c r="CR1305" s="34"/>
      <c r="CS1305" s="34"/>
    </row>
    <row r="1306">
      <c r="A1306" s="34"/>
      <c r="B1306" s="3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  <c r="CM1306" s="34"/>
      <c r="CN1306" s="34"/>
      <c r="CO1306" s="34"/>
      <c r="CP1306" s="34"/>
      <c r="CQ1306" s="34"/>
      <c r="CR1306" s="34"/>
      <c r="CS1306" s="34"/>
    </row>
    <row r="1307">
      <c r="A1307" s="34"/>
      <c r="B1307" s="3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  <c r="CM1307" s="34"/>
      <c r="CN1307" s="34"/>
      <c r="CO1307" s="34"/>
      <c r="CP1307" s="34"/>
      <c r="CQ1307" s="34"/>
      <c r="CR1307" s="34"/>
      <c r="CS1307" s="34"/>
    </row>
    <row r="1308">
      <c r="A1308" s="34"/>
      <c r="B1308" s="3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  <c r="CM1308" s="34"/>
      <c r="CN1308" s="34"/>
      <c r="CO1308" s="34"/>
      <c r="CP1308" s="34"/>
      <c r="CQ1308" s="34"/>
      <c r="CR1308" s="34"/>
      <c r="CS1308" s="34"/>
    </row>
    <row r="1309">
      <c r="A1309" s="34"/>
      <c r="B1309" s="3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  <c r="CM1309" s="34"/>
      <c r="CN1309" s="34"/>
      <c r="CO1309" s="34"/>
      <c r="CP1309" s="34"/>
      <c r="CQ1309" s="34"/>
      <c r="CR1309" s="34"/>
      <c r="CS1309" s="34"/>
    </row>
    <row r="1310">
      <c r="A1310" s="34"/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  <c r="CM1310" s="34"/>
      <c r="CN1310" s="34"/>
      <c r="CO1310" s="34"/>
      <c r="CP1310" s="34"/>
      <c r="CQ1310" s="34"/>
      <c r="CR1310" s="34"/>
      <c r="CS1310" s="34"/>
    </row>
    <row r="1311">
      <c r="A1311" s="34"/>
      <c r="B1311" s="3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  <c r="CM1311" s="34"/>
      <c r="CN1311" s="34"/>
      <c r="CO1311" s="34"/>
      <c r="CP1311" s="34"/>
      <c r="CQ1311" s="34"/>
      <c r="CR1311" s="34"/>
      <c r="CS1311" s="34"/>
    </row>
    <row r="1312">
      <c r="A1312" s="34"/>
      <c r="B1312" s="3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  <c r="CM1312" s="34"/>
      <c r="CN1312" s="34"/>
      <c r="CO1312" s="34"/>
      <c r="CP1312" s="34"/>
      <c r="CQ1312" s="34"/>
      <c r="CR1312" s="34"/>
      <c r="CS1312" s="34"/>
    </row>
    <row r="1313">
      <c r="A1313" s="34"/>
      <c r="B1313" s="3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  <c r="CM1313" s="34"/>
      <c r="CN1313" s="34"/>
      <c r="CO1313" s="34"/>
      <c r="CP1313" s="34"/>
      <c r="CQ1313" s="34"/>
      <c r="CR1313" s="34"/>
      <c r="CS1313" s="34"/>
    </row>
    <row r="1314">
      <c r="A1314" s="34"/>
      <c r="B1314" s="3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  <c r="CM1314" s="34"/>
      <c r="CN1314" s="34"/>
      <c r="CO1314" s="34"/>
      <c r="CP1314" s="34"/>
      <c r="CQ1314" s="34"/>
      <c r="CR1314" s="34"/>
      <c r="CS1314" s="34"/>
    </row>
    <row r="1315">
      <c r="A1315" s="34"/>
      <c r="B1315" s="3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  <c r="CM1315" s="34"/>
      <c r="CN1315" s="34"/>
      <c r="CO1315" s="34"/>
      <c r="CP1315" s="34"/>
      <c r="CQ1315" s="34"/>
      <c r="CR1315" s="34"/>
      <c r="CS1315" s="34"/>
    </row>
    <row r="1316">
      <c r="A1316" s="34"/>
      <c r="B1316" s="3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  <c r="CM1316" s="34"/>
      <c r="CN1316" s="34"/>
      <c r="CO1316" s="34"/>
      <c r="CP1316" s="34"/>
      <c r="CQ1316" s="34"/>
      <c r="CR1316" s="34"/>
      <c r="CS1316" s="34"/>
    </row>
    <row r="1317">
      <c r="A1317" s="34"/>
      <c r="B1317" s="3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  <c r="CM1317" s="34"/>
      <c r="CN1317" s="34"/>
      <c r="CO1317" s="34"/>
      <c r="CP1317" s="34"/>
      <c r="CQ1317" s="34"/>
      <c r="CR1317" s="34"/>
      <c r="CS1317" s="34"/>
    </row>
    <row r="1318">
      <c r="A1318" s="34"/>
      <c r="B1318" s="3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  <c r="CM1318" s="34"/>
      <c r="CN1318" s="34"/>
      <c r="CO1318" s="34"/>
      <c r="CP1318" s="34"/>
      <c r="CQ1318" s="34"/>
      <c r="CR1318" s="34"/>
      <c r="CS1318" s="34"/>
    </row>
    <row r="1319">
      <c r="A1319" s="34"/>
      <c r="B1319" s="3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  <c r="CM1319" s="34"/>
      <c r="CN1319" s="34"/>
      <c r="CO1319" s="34"/>
      <c r="CP1319" s="34"/>
      <c r="CQ1319" s="34"/>
      <c r="CR1319" s="34"/>
      <c r="CS1319" s="34"/>
    </row>
    <row r="1320">
      <c r="A1320" s="34"/>
      <c r="B1320" s="3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  <c r="CM1320" s="34"/>
      <c r="CN1320" s="34"/>
      <c r="CO1320" s="34"/>
      <c r="CP1320" s="34"/>
      <c r="CQ1320" s="34"/>
      <c r="CR1320" s="34"/>
      <c r="CS1320" s="34"/>
    </row>
    <row r="1321">
      <c r="A1321" s="34"/>
      <c r="B1321" s="3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  <c r="CM1321" s="34"/>
      <c r="CN1321" s="34"/>
      <c r="CO1321" s="34"/>
      <c r="CP1321" s="34"/>
      <c r="CQ1321" s="34"/>
      <c r="CR1321" s="34"/>
      <c r="CS1321" s="34"/>
    </row>
    <row r="1322">
      <c r="A1322" s="34"/>
      <c r="B1322" s="3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  <c r="CM1322" s="34"/>
      <c r="CN1322" s="34"/>
      <c r="CO1322" s="34"/>
      <c r="CP1322" s="34"/>
      <c r="CQ1322" s="34"/>
      <c r="CR1322" s="34"/>
      <c r="CS1322" s="34"/>
    </row>
    <row r="1323">
      <c r="A1323" s="34"/>
      <c r="B1323" s="3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  <c r="CM1323" s="34"/>
      <c r="CN1323" s="34"/>
      <c r="CO1323" s="34"/>
      <c r="CP1323" s="34"/>
      <c r="CQ1323" s="34"/>
      <c r="CR1323" s="34"/>
      <c r="CS1323" s="34"/>
    </row>
    <row r="1324">
      <c r="A1324" s="34"/>
      <c r="B1324" s="3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  <c r="CM1324" s="34"/>
      <c r="CN1324" s="34"/>
      <c r="CO1324" s="34"/>
      <c r="CP1324" s="34"/>
      <c r="CQ1324" s="34"/>
      <c r="CR1324" s="34"/>
      <c r="CS1324" s="34"/>
    </row>
    <row r="1325">
      <c r="A1325" s="34"/>
      <c r="B1325" s="3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  <c r="CM1325" s="34"/>
      <c r="CN1325" s="34"/>
      <c r="CO1325" s="34"/>
      <c r="CP1325" s="34"/>
      <c r="CQ1325" s="34"/>
      <c r="CR1325" s="34"/>
      <c r="CS1325" s="34"/>
    </row>
    <row r="1326">
      <c r="A1326" s="34"/>
      <c r="B1326" s="3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  <c r="CM1326" s="34"/>
      <c r="CN1326" s="34"/>
      <c r="CO1326" s="34"/>
      <c r="CP1326" s="34"/>
      <c r="CQ1326" s="34"/>
      <c r="CR1326" s="34"/>
      <c r="CS1326" s="34"/>
    </row>
    <row r="1327">
      <c r="A1327" s="34"/>
      <c r="B1327" s="3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  <c r="CM1327" s="34"/>
      <c r="CN1327" s="34"/>
      <c r="CO1327" s="34"/>
      <c r="CP1327" s="34"/>
      <c r="CQ1327" s="34"/>
      <c r="CR1327" s="34"/>
      <c r="CS1327" s="34"/>
    </row>
    <row r="1328">
      <c r="A1328" s="34"/>
      <c r="B1328" s="3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  <c r="CM1328" s="34"/>
      <c r="CN1328" s="34"/>
      <c r="CO1328" s="34"/>
      <c r="CP1328" s="34"/>
      <c r="CQ1328" s="34"/>
      <c r="CR1328" s="34"/>
      <c r="CS1328" s="34"/>
    </row>
    <row r="1329">
      <c r="A1329" s="34"/>
      <c r="B1329" s="3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  <c r="CM1329" s="34"/>
      <c r="CN1329" s="34"/>
      <c r="CO1329" s="34"/>
      <c r="CP1329" s="34"/>
      <c r="CQ1329" s="34"/>
      <c r="CR1329" s="34"/>
      <c r="CS1329" s="34"/>
    </row>
    <row r="1330">
      <c r="A1330" s="34"/>
      <c r="B1330" s="3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  <c r="CM1330" s="34"/>
      <c r="CN1330" s="34"/>
      <c r="CO1330" s="34"/>
      <c r="CP1330" s="34"/>
      <c r="CQ1330" s="34"/>
      <c r="CR1330" s="34"/>
      <c r="CS1330" s="34"/>
    </row>
    <row r="1331">
      <c r="A1331" s="34"/>
      <c r="B1331" s="3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  <c r="CM1331" s="34"/>
      <c r="CN1331" s="34"/>
      <c r="CO1331" s="34"/>
      <c r="CP1331" s="34"/>
      <c r="CQ1331" s="34"/>
      <c r="CR1331" s="34"/>
      <c r="CS1331" s="34"/>
    </row>
    <row r="1332">
      <c r="A1332" s="34"/>
      <c r="B1332" s="3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  <c r="CM1332" s="34"/>
      <c r="CN1332" s="34"/>
      <c r="CO1332" s="34"/>
      <c r="CP1332" s="34"/>
      <c r="CQ1332" s="34"/>
      <c r="CR1332" s="34"/>
      <c r="CS1332" s="34"/>
    </row>
    <row r="1333">
      <c r="A1333" s="34"/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  <c r="CM1333" s="34"/>
      <c r="CN1333" s="34"/>
      <c r="CO1333" s="34"/>
      <c r="CP1333" s="34"/>
      <c r="CQ1333" s="34"/>
      <c r="CR1333" s="34"/>
      <c r="CS1333" s="34"/>
    </row>
    <row r="1334">
      <c r="A1334" s="34"/>
      <c r="B1334" s="3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  <c r="CM1334" s="34"/>
      <c r="CN1334" s="34"/>
      <c r="CO1334" s="34"/>
      <c r="CP1334" s="34"/>
      <c r="CQ1334" s="34"/>
      <c r="CR1334" s="34"/>
      <c r="CS1334" s="34"/>
    </row>
    <row r="1335">
      <c r="A1335" s="34"/>
      <c r="B1335" s="3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  <c r="CM1335" s="34"/>
      <c r="CN1335" s="34"/>
      <c r="CO1335" s="34"/>
      <c r="CP1335" s="34"/>
      <c r="CQ1335" s="34"/>
      <c r="CR1335" s="34"/>
      <c r="CS1335" s="34"/>
    </row>
    <row r="1336">
      <c r="A1336" s="34"/>
      <c r="B1336" s="3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  <c r="CM1336" s="34"/>
      <c r="CN1336" s="34"/>
      <c r="CO1336" s="34"/>
      <c r="CP1336" s="34"/>
      <c r="CQ1336" s="34"/>
      <c r="CR1336" s="34"/>
      <c r="CS1336" s="34"/>
    </row>
    <row r="1337">
      <c r="A1337" s="34"/>
      <c r="B1337" s="3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  <c r="CM1337" s="34"/>
      <c r="CN1337" s="34"/>
      <c r="CO1337" s="34"/>
      <c r="CP1337" s="34"/>
      <c r="CQ1337" s="34"/>
      <c r="CR1337" s="34"/>
      <c r="CS1337" s="34"/>
    </row>
    <row r="1338">
      <c r="A1338" s="34"/>
      <c r="B1338" s="3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  <c r="CM1338" s="34"/>
      <c r="CN1338" s="34"/>
      <c r="CO1338" s="34"/>
      <c r="CP1338" s="34"/>
      <c r="CQ1338" s="34"/>
      <c r="CR1338" s="34"/>
      <c r="CS1338" s="34"/>
    </row>
    <row r="1339">
      <c r="A1339" s="34"/>
      <c r="B1339" s="3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  <c r="CM1339" s="34"/>
      <c r="CN1339" s="34"/>
      <c r="CO1339" s="34"/>
      <c r="CP1339" s="34"/>
      <c r="CQ1339" s="34"/>
      <c r="CR1339" s="34"/>
      <c r="CS1339" s="34"/>
    </row>
    <row r="1340">
      <c r="A1340" s="34"/>
      <c r="B1340" s="3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  <c r="CM1340" s="34"/>
      <c r="CN1340" s="34"/>
      <c r="CO1340" s="34"/>
      <c r="CP1340" s="34"/>
      <c r="CQ1340" s="34"/>
      <c r="CR1340" s="34"/>
      <c r="CS1340" s="34"/>
    </row>
    <row r="1341">
      <c r="A1341" s="34"/>
      <c r="B1341" s="3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  <c r="CM1341" s="34"/>
      <c r="CN1341" s="34"/>
      <c r="CO1341" s="34"/>
      <c r="CP1341" s="34"/>
      <c r="CQ1341" s="34"/>
      <c r="CR1341" s="34"/>
      <c r="CS1341" s="34"/>
    </row>
    <row r="1342">
      <c r="A1342" s="34"/>
      <c r="B1342" s="3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  <c r="CM1342" s="34"/>
      <c r="CN1342" s="34"/>
      <c r="CO1342" s="34"/>
      <c r="CP1342" s="34"/>
      <c r="CQ1342" s="34"/>
      <c r="CR1342" s="34"/>
      <c r="CS1342" s="34"/>
    </row>
    <row r="1343">
      <c r="A1343" s="34"/>
      <c r="B1343" s="3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  <c r="CM1343" s="34"/>
      <c r="CN1343" s="34"/>
      <c r="CO1343" s="34"/>
      <c r="CP1343" s="34"/>
      <c r="CQ1343" s="34"/>
      <c r="CR1343" s="34"/>
      <c r="CS1343" s="34"/>
    </row>
    <row r="1344">
      <c r="A1344" s="34"/>
      <c r="B1344" s="3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  <c r="CM1344" s="34"/>
      <c r="CN1344" s="34"/>
      <c r="CO1344" s="34"/>
      <c r="CP1344" s="34"/>
      <c r="CQ1344" s="34"/>
      <c r="CR1344" s="34"/>
      <c r="CS1344" s="34"/>
    </row>
    <row r="1345">
      <c r="A1345" s="34"/>
      <c r="B1345" s="3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  <c r="CM1345" s="34"/>
      <c r="CN1345" s="34"/>
      <c r="CO1345" s="34"/>
      <c r="CP1345" s="34"/>
      <c r="CQ1345" s="34"/>
      <c r="CR1345" s="34"/>
      <c r="CS1345" s="34"/>
    </row>
    <row r="1346">
      <c r="A1346" s="34"/>
      <c r="B1346" s="3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  <c r="CM1346" s="34"/>
      <c r="CN1346" s="34"/>
      <c r="CO1346" s="34"/>
      <c r="CP1346" s="34"/>
      <c r="CQ1346" s="34"/>
      <c r="CR1346" s="34"/>
      <c r="CS1346" s="34"/>
    </row>
    <row r="1347">
      <c r="A1347" s="34"/>
      <c r="B1347" s="3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  <c r="CM1347" s="34"/>
      <c r="CN1347" s="34"/>
      <c r="CO1347" s="34"/>
      <c r="CP1347" s="34"/>
      <c r="CQ1347" s="34"/>
      <c r="CR1347" s="34"/>
      <c r="CS1347" s="34"/>
    </row>
    <row r="1348">
      <c r="A1348" s="34"/>
      <c r="B1348" s="3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  <c r="CM1348" s="34"/>
      <c r="CN1348" s="34"/>
      <c r="CO1348" s="34"/>
      <c r="CP1348" s="34"/>
      <c r="CQ1348" s="34"/>
      <c r="CR1348" s="34"/>
      <c r="CS1348" s="34"/>
    </row>
    <row r="1349">
      <c r="A1349" s="34"/>
      <c r="B1349" s="3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  <c r="CM1349" s="34"/>
      <c r="CN1349" s="34"/>
      <c r="CO1349" s="34"/>
      <c r="CP1349" s="34"/>
      <c r="CQ1349" s="34"/>
      <c r="CR1349" s="34"/>
      <c r="CS1349" s="34"/>
    </row>
    <row r="1350">
      <c r="A1350" s="34"/>
      <c r="B1350" s="3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  <c r="CM1350" s="34"/>
      <c r="CN1350" s="34"/>
      <c r="CO1350" s="34"/>
      <c r="CP1350" s="34"/>
      <c r="CQ1350" s="34"/>
      <c r="CR1350" s="34"/>
      <c r="CS1350" s="34"/>
    </row>
    <row r="1351">
      <c r="A1351" s="34"/>
      <c r="B1351" s="3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  <c r="CM1351" s="34"/>
      <c r="CN1351" s="34"/>
      <c r="CO1351" s="34"/>
      <c r="CP1351" s="34"/>
      <c r="CQ1351" s="34"/>
      <c r="CR1351" s="34"/>
      <c r="CS1351" s="34"/>
    </row>
    <row r="1352">
      <c r="A1352" s="34"/>
      <c r="B1352" s="3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  <c r="CM1352" s="34"/>
      <c r="CN1352" s="34"/>
      <c r="CO1352" s="34"/>
      <c r="CP1352" s="34"/>
      <c r="CQ1352" s="34"/>
      <c r="CR1352" s="34"/>
      <c r="CS1352" s="34"/>
    </row>
    <row r="1353">
      <c r="A1353" s="34"/>
      <c r="B1353" s="3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  <c r="CM1353" s="34"/>
      <c r="CN1353" s="34"/>
      <c r="CO1353" s="34"/>
      <c r="CP1353" s="34"/>
      <c r="CQ1353" s="34"/>
      <c r="CR1353" s="34"/>
      <c r="CS1353" s="34"/>
    </row>
    <row r="1354">
      <c r="A1354" s="34"/>
      <c r="B1354" s="3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  <c r="CM1354" s="34"/>
      <c r="CN1354" s="34"/>
      <c r="CO1354" s="34"/>
      <c r="CP1354" s="34"/>
      <c r="CQ1354" s="34"/>
      <c r="CR1354" s="34"/>
      <c r="CS1354" s="34"/>
    </row>
    <row r="1355">
      <c r="A1355" s="34"/>
      <c r="B1355" s="3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  <c r="CM1355" s="34"/>
      <c r="CN1355" s="34"/>
      <c r="CO1355" s="34"/>
      <c r="CP1355" s="34"/>
      <c r="CQ1355" s="34"/>
      <c r="CR1355" s="34"/>
      <c r="CS1355" s="34"/>
    </row>
    <row r="1356">
      <c r="A1356" s="34"/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  <c r="CM1356" s="34"/>
      <c r="CN1356" s="34"/>
      <c r="CO1356" s="34"/>
      <c r="CP1356" s="34"/>
      <c r="CQ1356" s="34"/>
      <c r="CR1356" s="34"/>
      <c r="CS1356" s="34"/>
    </row>
    <row r="1357">
      <c r="A1357" s="34"/>
      <c r="B1357" s="3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  <c r="CM1357" s="34"/>
      <c r="CN1357" s="34"/>
      <c r="CO1357" s="34"/>
      <c r="CP1357" s="34"/>
      <c r="CQ1357" s="34"/>
      <c r="CR1357" s="34"/>
      <c r="CS1357" s="34"/>
    </row>
    <row r="1358">
      <c r="A1358" s="34"/>
      <c r="B1358" s="3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  <c r="CM1358" s="34"/>
      <c r="CN1358" s="34"/>
      <c r="CO1358" s="34"/>
      <c r="CP1358" s="34"/>
      <c r="CQ1358" s="34"/>
      <c r="CR1358" s="34"/>
      <c r="CS1358" s="34"/>
    </row>
    <row r="1359">
      <c r="A1359" s="34"/>
      <c r="B1359" s="3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  <c r="CM1359" s="34"/>
      <c r="CN1359" s="34"/>
      <c r="CO1359" s="34"/>
      <c r="CP1359" s="34"/>
      <c r="CQ1359" s="34"/>
      <c r="CR1359" s="34"/>
      <c r="CS1359" s="34"/>
    </row>
    <row r="1360">
      <c r="A1360" s="34"/>
      <c r="B1360" s="3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  <c r="CM1360" s="34"/>
      <c r="CN1360" s="34"/>
      <c r="CO1360" s="34"/>
      <c r="CP1360" s="34"/>
      <c r="CQ1360" s="34"/>
      <c r="CR1360" s="34"/>
      <c r="CS1360" s="34"/>
    </row>
    <row r="1361">
      <c r="A1361" s="34"/>
      <c r="B1361" s="3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  <c r="CM1361" s="34"/>
      <c r="CN1361" s="34"/>
      <c r="CO1361" s="34"/>
      <c r="CP1361" s="34"/>
      <c r="CQ1361" s="34"/>
      <c r="CR1361" s="34"/>
      <c r="CS1361" s="34"/>
    </row>
    <row r="1362">
      <c r="A1362" s="34"/>
      <c r="B1362" s="3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  <c r="CM1362" s="34"/>
      <c r="CN1362" s="34"/>
      <c r="CO1362" s="34"/>
      <c r="CP1362" s="34"/>
      <c r="CQ1362" s="34"/>
      <c r="CR1362" s="34"/>
      <c r="CS1362" s="34"/>
    </row>
    <row r="1363">
      <c r="A1363" s="34"/>
      <c r="B1363" s="3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  <c r="CM1363" s="34"/>
      <c r="CN1363" s="34"/>
      <c r="CO1363" s="34"/>
      <c r="CP1363" s="34"/>
      <c r="CQ1363" s="34"/>
      <c r="CR1363" s="34"/>
      <c r="CS1363" s="34"/>
    </row>
    <row r="1364">
      <c r="A1364" s="34"/>
      <c r="B1364" s="3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  <c r="CM1364" s="34"/>
      <c r="CN1364" s="34"/>
      <c r="CO1364" s="34"/>
      <c r="CP1364" s="34"/>
      <c r="CQ1364" s="34"/>
      <c r="CR1364" s="34"/>
      <c r="CS1364" s="34"/>
    </row>
    <row r="1365">
      <c r="A1365" s="34"/>
      <c r="B1365" s="3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  <c r="CM1365" s="34"/>
      <c r="CN1365" s="34"/>
      <c r="CO1365" s="34"/>
      <c r="CP1365" s="34"/>
      <c r="CQ1365" s="34"/>
      <c r="CR1365" s="34"/>
      <c r="CS1365" s="34"/>
    </row>
    <row r="1366">
      <c r="A1366" s="34"/>
      <c r="B1366" s="3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  <c r="CM1366" s="34"/>
      <c r="CN1366" s="34"/>
      <c r="CO1366" s="34"/>
      <c r="CP1366" s="34"/>
      <c r="CQ1366" s="34"/>
      <c r="CR1366" s="34"/>
      <c r="CS1366" s="34"/>
    </row>
    <row r="1367">
      <c r="A1367" s="34"/>
      <c r="B1367" s="3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  <c r="CM1367" s="34"/>
      <c r="CN1367" s="34"/>
      <c r="CO1367" s="34"/>
      <c r="CP1367" s="34"/>
      <c r="CQ1367" s="34"/>
      <c r="CR1367" s="34"/>
      <c r="CS1367" s="34"/>
    </row>
    <row r="1368">
      <c r="A1368" s="34"/>
      <c r="B1368" s="3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  <c r="CM1368" s="34"/>
      <c r="CN1368" s="34"/>
      <c r="CO1368" s="34"/>
      <c r="CP1368" s="34"/>
      <c r="CQ1368" s="34"/>
      <c r="CR1368" s="34"/>
      <c r="CS1368" s="34"/>
    </row>
    <row r="1369">
      <c r="A1369" s="34"/>
      <c r="B1369" s="3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  <c r="CM1369" s="34"/>
      <c r="CN1369" s="34"/>
      <c r="CO1369" s="34"/>
      <c r="CP1369" s="34"/>
      <c r="CQ1369" s="34"/>
      <c r="CR1369" s="34"/>
      <c r="CS1369" s="34"/>
    </row>
    <row r="1370">
      <c r="A1370" s="34"/>
      <c r="B1370" s="3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  <c r="CM1370" s="34"/>
      <c r="CN1370" s="34"/>
      <c r="CO1370" s="34"/>
      <c r="CP1370" s="34"/>
      <c r="CQ1370" s="34"/>
      <c r="CR1370" s="34"/>
      <c r="CS1370" s="34"/>
    </row>
    <row r="1371">
      <c r="A1371" s="34"/>
      <c r="B1371" s="3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  <c r="CM1371" s="34"/>
      <c r="CN1371" s="34"/>
      <c r="CO1371" s="34"/>
      <c r="CP1371" s="34"/>
      <c r="CQ1371" s="34"/>
      <c r="CR1371" s="34"/>
      <c r="CS1371" s="34"/>
    </row>
    <row r="1372">
      <c r="A1372" s="34"/>
      <c r="B1372" s="3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  <c r="CM1372" s="34"/>
      <c r="CN1372" s="34"/>
      <c r="CO1372" s="34"/>
      <c r="CP1372" s="34"/>
      <c r="CQ1372" s="34"/>
      <c r="CR1372" s="34"/>
      <c r="CS1372" s="34"/>
    </row>
    <row r="1373">
      <c r="A1373" s="34"/>
      <c r="B1373" s="3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  <c r="CM1373" s="34"/>
      <c r="CN1373" s="34"/>
      <c r="CO1373" s="34"/>
      <c r="CP1373" s="34"/>
      <c r="CQ1373" s="34"/>
      <c r="CR1373" s="34"/>
      <c r="CS1373" s="34"/>
    </row>
    <row r="1374">
      <c r="A1374" s="34"/>
      <c r="B1374" s="3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  <c r="CM1374" s="34"/>
      <c r="CN1374" s="34"/>
      <c r="CO1374" s="34"/>
      <c r="CP1374" s="34"/>
      <c r="CQ1374" s="34"/>
      <c r="CR1374" s="34"/>
      <c r="CS1374" s="34"/>
    </row>
    <row r="1375">
      <c r="A1375" s="34"/>
      <c r="B1375" s="3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  <c r="CM1375" s="34"/>
      <c r="CN1375" s="34"/>
      <c r="CO1375" s="34"/>
      <c r="CP1375" s="34"/>
      <c r="CQ1375" s="34"/>
      <c r="CR1375" s="34"/>
      <c r="CS1375" s="34"/>
    </row>
    <row r="1376">
      <c r="A1376" s="34"/>
      <c r="B1376" s="3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  <c r="CM1376" s="34"/>
      <c r="CN1376" s="34"/>
      <c r="CO1376" s="34"/>
      <c r="CP1376" s="34"/>
      <c r="CQ1376" s="34"/>
      <c r="CR1376" s="34"/>
      <c r="CS1376" s="34"/>
    </row>
    <row r="1377">
      <c r="A1377" s="34"/>
      <c r="B1377" s="3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  <c r="CM1377" s="34"/>
      <c r="CN1377" s="34"/>
      <c r="CO1377" s="34"/>
      <c r="CP1377" s="34"/>
      <c r="CQ1377" s="34"/>
      <c r="CR1377" s="34"/>
      <c r="CS1377" s="34"/>
    </row>
    <row r="1378">
      <c r="A1378" s="34"/>
      <c r="B1378" s="3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  <c r="CM1378" s="34"/>
      <c r="CN1378" s="34"/>
      <c r="CO1378" s="34"/>
      <c r="CP1378" s="34"/>
      <c r="CQ1378" s="34"/>
      <c r="CR1378" s="34"/>
      <c r="CS1378" s="34"/>
    </row>
    <row r="1379">
      <c r="A1379" s="34"/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  <c r="CM1379" s="34"/>
      <c r="CN1379" s="34"/>
      <c r="CO1379" s="34"/>
      <c r="CP1379" s="34"/>
      <c r="CQ1379" s="34"/>
      <c r="CR1379" s="34"/>
      <c r="CS1379" s="34"/>
    </row>
    <row r="1380">
      <c r="A1380" s="34"/>
      <c r="B1380" s="34"/>
      <c r="C1380" s="34"/>
      <c r="D1380" s="34"/>
      <c r="E1380" s="34"/>
      <c r="F1380" s="34"/>
      <c r="G1380" s="34"/>
      <c r="H1380" s="34"/>
      <c r="I1380" s="34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  <c r="CM1380" s="34"/>
      <c r="CN1380" s="34"/>
      <c r="CO1380" s="34"/>
      <c r="CP1380" s="34"/>
      <c r="CQ1380" s="34"/>
      <c r="CR1380" s="34"/>
      <c r="CS1380" s="34"/>
    </row>
    <row r="1381">
      <c r="A1381" s="34"/>
      <c r="B1381" s="34"/>
      <c r="C1381" s="34"/>
      <c r="D1381" s="34"/>
      <c r="E1381" s="34"/>
      <c r="F1381" s="34"/>
      <c r="G1381" s="34"/>
      <c r="H1381" s="34"/>
      <c r="I1381" s="34"/>
      <c r="J1381" s="3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  <c r="CM1381" s="34"/>
      <c r="CN1381" s="34"/>
      <c r="CO1381" s="34"/>
      <c r="CP1381" s="34"/>
      <c r="CQ1381" s="34"/>
      <c r="CR1381" s="34"/>
      <c r="CS1381" s="34"/>
    </row>
    <row r="1382">
      <c r="A1382" s="34"/>
      <c r="B1382" s="34"/>
      <c r="C1382" s="34"/>
      <c r="D1382" s="34"/>
      <c r="E1382" s="34"/>
      <c r="F1382" s="34"/>
      <c r="G1382" s="34"/>
      <c r="H1382" s="34"/>
      <c r="I1382" s="34"/>
      <c r="J1382" s="3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  <c r="CM1382" s="34"/>
      <c r="CN1382" s="34"/>
      <c r="CO1382" s="34"/>
      <c r="CP1382" s="34"/>
      <c r="CQ1382" s="34"/>
      <c r="CR1382" s="34"/>
      <c r="CS1382" s="34"/>
    </row>
    <row r="1383">
      <c r="A1383" s="34"/>
      <c r="B1383" s="34"/>
      <c r="C1383" s="34"/>
      <c r="D1383" s="34"/>
      <c r="E1383" s="34"/>
      <c r="F1383" s="34"/>
      <c r="G1383" s="34"/>
      <c r="H1383" s="34"/>
      <c r="I1383" s="34"/>
      <c r="J1383" s="3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  <c r="CM1383" s="34"/>
      <c r="CN1383" s="34"/>
      <c r="CO1383" s="34"/>
      <c r="CP1383" s="34"/>
      <c r="CQ1383" s="34"/>
      <c r="CR1383" s="34"/>
      <c r="CS1383" s="34"/>
    </row>
    <row r="1384">
      <c r="A1384" s="34"/>
      <c r="B1384" s="34"/>
      <c r="C1384" s="34"/>
      <c r="D1384" s="34"/>
      <c r="E1384" s="34"/>
      <c r="F1384" s="34"/>
      <c r="G1384" s="34"/>
      <c r="H1384" s="34"/>
      <c r="I1384" s="34"/>
      <c r="J1384" s="3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  <c r="CM1384" s="34"/>
      <c r="CN1384" s="34"/>
      <c r="CO1384" s="34"/>
      <c r="CP1384" s="34"/>
      <c r="CQ1384" s="34"/>
      <c r="CR1384" s="34"/>
      <c r="CS1384" s="34"/>
    </row>
    <row r="1385">
      <c r="A1385" s="34"/>
      <c r="B1385" s="34"/>
      <c r="C1385" s="34"/>
      <c r="D1385" s="34"/>
      <c r="E1385" s="34"/>
      <c r="F1385" s="34"/>
      <c r="G1385" s="34"/>
      <c r="H1385" s="34"/>
      <c r="I1385" s="34"/>
      <c r="J1385" s="3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  <c r="CM1385" s="34"/>
      <c r="CN1385" s="34"/>
      <c r="CO1385" s="34"/>
      <c r="CP1385" s="34"/>
      <c r="CQ1385" s="34"/>
      <c r="CR1385" s="34"/>
      <c r="CS1385" s="34"/>
    </row>
    <row r="1386">
      <c r="A1386" s="34"/>
      <c r="B1386" s="34"/>
      <c r="C1386" s="34"/>
      <c r="D1386" s="34"/>
      <c r="E1386" s="34"/>
      <c r="F1386" s="34"/>
      <c r="G1386" s="34"/>
      <c r="H1386" s="34"/>
      <c r="I1386" s="34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  <c r="CM1386" s="34"/>
      <c r="CN1386" s="34"/>
      <c r="CO1386" s="34"/>
      <c r="CP1386" s="34"/>
      <c r="CQ1386" s="34"/>
      <c r="CR1386" s="34"/>
      <c r="CS1386" s="34"/>
    </row>
    <row r="1387">
      <c r="A1387" s="34"/>
      <c r="B1387" s="34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  <c r="CM1387" s="34"/>
      <c r="CN1387" s="34"/>
      <c r="CO1387" s="34"/>
      <c r="CP1387" s="34"/>
      <c r="CQ1387" s="34"/>
      <c r="CR1387" s="34"/>
      <c r="CS1387" s="34"/>
    </row>
    <row r="1388">
      <c r="A1388" s="34"/>
      <c r="B1388" s="34"/>
      <c r="C1388" s="34"/>
      <c r="D1388" s="34"/>
      <c r="E1388" s="34"/>
      <c r="F1388" s="34"/>
      <c r="G1388" s="34"/>
      <c r="H1388" s="34"/>
      <c r="I1388" s="34"/>
      <c r="J1388" s="3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  <c r="CM1388" s="34"/>
      <c r="CN1388" s="34"/>
      <c r="CO1388" s="34"/>
      <c r="CP1388" s="34"/>
      <c r="CQ1388" s="34"/>
      <c r="CR1388" s="34"/>
      <c r="CS1388" s="34"/>
    </row>
    <row r="1389">
      <c r="A1389" s="34"/>
      <c r="B1389" s="34"/>
      <c r="C1389" s="34"/>
      <c r="D1389" s="34"/>
      <c r="E1389" s="34"/>
      <c r="F1389" s="34"/>
      <c r="G1389" s="34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  <c r="CM1389" s="34"/>
      <c r="CN1389" s="34"/>
      <c r="CO1389" s="34"/>
      <c r="CP1389" s="34"/>
      <c r="CQ1389" s="34"/>
      <c r="CR1389" s="34"/>
      <c r="CS1389" s="34"/>
    </row>
    <row r="1390">
      <c r="A1390" s="34"/>
      <c r="B1390" s="34"/>
      <c r="C1390" s="34"/>
      <c r="D1390" s="34"/>
      <c r="E1390" s="34"/>
      <c r="F1390" s="34"/>
      <c r="G1390" s="34"/>
      <c r="H1390" s="34"/>
      <c r="I1390" s="34"/>
      <c r="J1390" s="3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  <c r="CM1390" s="34"/>
      <c r="CN1390" s="34"/>
      <c r="CO1390" s="34"/>
      <c r="CP1390" s="34"/>
      <c r="CQ1390" s="34"/>
      <c r="CR1390" s="34"/>
      <c r="CS1390" s="34"/>
    </row>
    <row r="1391">
      <c r="A1391" s="34"/>
      <c r="B1391" s="34"/>
      <c r="C1391" s="34"/>
      <c r="D1391" s="34"/>
      <c r="E1391" s="34"/>
      <c r="F1391" s="34"/>
      <c r="G1391" s="34"/>
      <c r="H1391" s="34"/>
      <c r="I1391" s="34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  <c r="CM1391" s="34"/>
      <c r="CN1391" s="34"/>
      <c r="CO1391" s="34"/>
      <c r="CP1391" s="34"/>
      <c r="CQ1391" s="34"/>
      <c r="CR1391" s="34"/>
      <c r="CS1391" s="34"/>
    </row>
    <row r="1392">
      <c r="A1392" s="34"/>
      <c r="B1392" s="34"/>
      <c r="C1392" s="34"/>
      <c r="D1392" s="34"/>
      <c r="E1392" s="34"/>
      <c r="F1392" s="34"/>
      <c r="G1392" s="34"/>
      <c r="H1392" s="34"/>
      <c r="I1392" s="34"/>
      <c r="J1392" s="3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  <c r="CM1392" s="34"/>
      <c r="CN1392" s="34"/>
      <c r="CO1392" s="34"/>
      <c r="CP1392" s="34"/>
      <c r="CQ1392" s="34"/>
      <c r="CR1392" s="34"/>
      <c r="CS1392" s="34"/>
    </row>
    <row r="1393">
      <c r="A1393" s="34"/>
      <c r="B1393" s="34"/>
      <c r="C1393" s="34"/>
      <c r="D1393" s="34"/>
      <c r="E1393" s="34"/>
      <c r="F1393" s="34"/>
      <c r="G1393" s="34"/>
      <c r="H1393" s="34"/>
      <c r="I1393" s="34"/>
      <c r="J1393" s="3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  <c r="CM1393" s="34"/>
      <c r="CN1393" s="34"/>
      <c r="CO1393" s="34"/>
      <c r="CP1393" s="34"/>
      <c r="CQ1393" s="34"/>
      <c r="CR1393" s="34"/>
      <c r="CS1393" s="34"/>
    </row>
    <row r="1394">
      <c r="A1394" s="34"/>
      <c r="B1394" s="34"/>
      <c r="C1394" s="34"/>
      <c r="D1394" s="34"/>
      <c r="E1394" s="34"/>
      <c r="F1394" s="34"/>
      <c r="G1394" s="34"/>
      <c r="H1394" s="34"/>
      <c r="I1394" s="34"/>
      <c r="J1394" s="3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  <c r="CM1394" s="34"/>
      <c r="CN1394" s="34"/>
      <c r="CO1394" s="34"/>
      <c r="CP1394" s="34"/>
      <c r="CQ1394" s="34"/>
      <c r="CR1394" s="34"/>
      <c r="CS1394" s="34"/>
    </row>
    <row r="1395">
      <c r="A1395" s="34"/>
      <c r="B1395" s="34"/>
      <c r="C1395" s="34"/>
      <c r="D1395" s="34"/>
      <c r="E1395" s="34"/>
      <c r="F1395" s="34"/>
      <c r="G1395" s="34"/>
      <c r="H1395" s="34"/>
      <c r="I1395" s="34"/>
      <c r="J1395" s="3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  <c r="CM1395" s="34"/>
      <c r="CN1395" s="34"/>
      <c r="CO1395" s="34"/>
      <c r="CP1395" s="34"/>
      <c r="CQ1395" s="34"/>
      <c r="CR1395" s="34"/>
      <c r="CS1395" s="34"/>
    </row>
    <row r="1396">
      <c r="A1396" s="34"/>
      <c r="B1396" s="34"/>
      <c r="C1396" s="34"/>
      <c r="D1396" s="34"/>
      <c r="E1396" s="34"/>
      <c r="F1396" s="34"/>
      <c r="G1396" s="34"/>
      <c r="H1396" s="34"/>
      <c r="I1396" s="34"/>
      <c r="J1396" s="3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  <c r="CM1396" s="34"/>
      <c r="CN1396" s="34"/>
      <c r="CO1396" s="34"/>
      <c r="CP1396" s="34"/>
      <c r="CQ1396" s="34"/>
      <c r="CR1396" s="34"/>
      <c r="CS1396" s="34"/>
    </row>
    <row r="1397">
      <c r="A1397" s="34"/>
      <c r="B1397" s="34"/>
      <c r="C1397" s="34"/>
      <c r="D1397" s="34"/>
      <c r="E1397" s="34"/>
      <c r="F1397" s="34"/>
      <c r="G1397" s="34"/>
      <c r="H1397" s="34"/>
      <c r="I1397" s="34"/>
      <c r="J1397" s="3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  <c r="CM1397" s="34"/>
      <c r="CN1397" s="34"/>
      <c r="CO1397" s="34"/>
      <c r="CP1397" s="34"/>
      <c r="CQ1397" s="34"/>
      <c r="CR1397" s="34"/>
      <c r="CS1397" s="34"/>
    </row>
    <row r="1398">
      <c r="A1398" s="34"/>
      <c r="B1398" s="34"/>
      <c r="C1398" s="34"/>
      <c r="D1398" s="34"/>
      <c r="E1398" s="34"/>
      <c r="F1398" s="34"/>
      <c r="G1398" s="34"/>
      <c r="H1398" s="34"/>
      <c r="I1398" s="34"/>
      <c r="J1398" s="3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  <c r="CM1398" s="34"/>
      <c r="CN1398" s="34"/>
      <c r="CO1398" s="34"/>
      <c r="CP1398" s="34"/>
      <c r="CQ1398" s="34"/>
      <c r="CR1398" s="34"/>
      <c r="CS1398" s="34"/>
    </row>
    <row r="1399">
      <c r="A1399" s="34"/>
      <c r="B1399" s="34"/>
      <c r="C1399" s="34"/>
      <c r="D1399" s="34"/>
      <c r="E1399" s="34"/>
      <c r="F1399" s="34"/>
      <c r="G1399" s="34"/>
      <c r="H1399" s="34"/>
      <c r="I1399" s="34"/>
      <c r="J1399" s="3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  <c r="CM1399" s="34"/>
      <c r="CN1399" s="34"/>
      <c r="CO1399" s="34"/>
      <c r="CP1399" s="34"/>
      <c r="CQ1399" s="34"/>
      <c r="CR1399" s="34"/>
      <c r="CS1399" s="34"/>
    </row>
    <row r="1400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  <c r="CM1400" s="34"/>
      <c r="CN1400" s="34"/>
      <c r="CO1400" s="34"/>
      <c r="CP1400" s="34"/>
      <c r="CQ1400" s="34"/>
      <c r="CR1400" s="34"/>
      <c r="CS1400" s="34"/>
    </row>
    <row r="1401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  <c r="CM1401" s="34"/>
      <c r="CN1401" s="34"/>
      <c r="CO1401" s="34"/>
      <c r="CP1401" s="34"/>
      <c r="CQ1401" s="34"/>
      <c r="CR1401" s="34"/>
      <c r="CS1401" s="34"/>
    </row>
    <row r="1402">
      <c r="A1402" s="34"/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  <c r="CM1402" s="34"/>
      <c r="CN1402" s="34"/>
      <c r="CO1402" s="34"/>
      <c r="CP1402" s="34"/>
      <c r="CQ1402" s="34"/>
      <c r="CR1402" s="34"/>
      <c r="CS1402" s="34"/>
    </row>
    <row r="1403">
      <c r="A1403" s="34"/>
      <c r="B1403" s="34"/>
      <c r="C1403" s="34"/>
      <c r="D1403" s="34"/>
      <c r="E1403" s="34"/>
      <c r="F1403" s="34"/>
      <c r="G1403" s="34"/>
      <c r="H1403" s="34"/>
      <c r="I1403" s="34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  <c r="CM1403" s="34"/>
      <c r="CN1403" s="34"/>
      <c r="CO1403" s="34"/>
      <c r="CP1403" s="34"/>
      <c r="CQ1403" s="34"/>
      <c r="CR1403" s="34"/>
      <c r="CS1403" s="34"/>
    </row>
    <row r="1404">
      <c r="A1404" s="34"/>
      <c r="B1404" s="34"/>
      <c r="C1404" s="34"/>
      <c r="D1404" s="34"/>
      <c r="E1404" s="34"/>
      <c r="F1404" s="34"/>
      <c r="G1404" s="34"/>
      <c r="H1404" s="34"/>
      <c r="I1404" s="34"/>
      <c r="J1404" s="3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  <c r="CM1404" s="34"/>
      <c r="CN1404" s="34"/>
      <c r="CO1404" s="34"/>
      <c r="CP1404" s="34"/>
      <c r="CQ1404" s="34"/>
      <c r="CR1404" s="34"/>
      <c r="CS1404" s="34"/>
    </row>
    <row r="1405">
      <c r="A1405" s="34"/>
      <c r="B1405" s="34"/>
      <c r="C1405" s="34"/>
      <c r="D1405" s="34"/>
      <c r="E1405" s="34"/>
      <c r="F1405" s="34"/>
      <c r="G1405" s="34"/>
      <c r="H1405" s="34"/>
      <c r="I1405" s="34"/>
      <c r="J1405" s="3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  <c r="CM1405" s="34"/>
      <c r="CN1405" s="34"/>
      <c r="CO1405" s="34"/>
      <c r="CP1405" s="34"/>
      <c r="CQ1405" s="34"/>
      <c r="CR1405" s="34"/>
      <c r="CS1405" s="34"/>
    </row>
    <row r="1406">
      <c r="A1406" s="34"/>
      <c r="B1406" s="34"/>
      <c r="C1406" s="34"/>
      <c r="D1406" s="34"/>
      <c r="E1406" s="34"/>
      <c r="F1406" s="34"/>
      <c r="G1406" s="34"/>
      <c r="H1406" s="34"/>
      <c r="I1406" s="34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  <c r="CM1406" s="34"/>
      <c r="CN1406" s="34"/>
      <c r="CO1406" s="34"/>
      <c r="CP1406" s="34"/>
      <c r="CQ1406" s="34"/>
      <c r="CR1406" s="34"/>
      <c r="CS1406" s="34"/>
    </row>
    <row r="1407">
      <c r="A1407" s="34"/>
      <c r="B1407" s="34"/>
      <c r="C1407" s="34"/>
      <c r="D1407" s="34"/>
      <c r="E1407" s="34"/>
      <c r="F1407" s="34"/>
      <c r="G1407" s="34"/>
      <c r="H1407" s="34"/>
      <c r="I1407" s="34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  <c r="CM1407" s="34"/>
      <c r="CN1407" s="34"/>
      <c r="CO1407" s="34"/>
      <c r="CP1407" s="34"/>
      <c r="CQ1407" s="34"/>
      <c r="CR1407" s="34"/>
      <c r="CS1407" s="34"/>
    </row>
    <row r="1408">
      <c r="A1408" s="34"/>
      <c r="B1408" s="34"/>
      <c r="C1408" s="34"/>
      <c r="D1408" s="34"/>
      <c r="E1408" s="34"/>
      <c r="F1408" s="34"/>
      <c r="G1408" s="34"/>
      <c r="H1408" s="34"/>
      <c r="I1408" s="34"/>
      <c r="J1408" s="3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  <c r="CM1408" s="34"/>
      <c r="CN1408" s="34"/>
      <c r="CO1408" s="34"/>
      <c r="CP1408" s="34"/>
      <c r="CQ1408" s="34"/>
      <c r="CR1408" s="34"/>
      <c r="CS1408" s="34"/>
    </row>
    <row r="1409">
      <c r="A1409" s="34"/>
      <c r="B1409" s="34"/>
      <c r="C1409" s="34"/>
      <c r="D1409" s="34"/>
      <c r="E1409" s="34"/>
      <c r="F1409" s="34"/>
      <c r="G1409" s="34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  <c r="CM1409" s="34"/>
      <c r="CN1409" s="34"/>
      <c r="CO1409" s="34"/>
      <c r="CP1409" s="34"/>
      <c r="CQ1409" s="34"/>
      <c r="CR1409" s="34"/>
      <c r="CS1409" s="34"/>
    </row>
    <row r="1410">
      <c r="A1410" s="34"/>
      <c r="B1410" s="34"/>
      <c r="C1410" s="34"/>
      <c r="D1410" s="34"/>
      <c r="E1410" s="34"/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  <c r="CM1410" s="34"/>
      <c r="CN1410" s="34"/>
      <c r="CO1410" s="34"/>
      <c r="CP1410" s="34"/>
      <c r="CQ1410" s="34"/>
      <c r="CR1410" s="34"/>
      <c r="CS1410" s="34"/>
    </row>
    <row r="1411">
      <c r="A1411" s="34"/>
      <c r="B1411" s="34"/>
      <c r="C1411" s="34"/>
      <c r="D1411" s="34"/>
      <c r="E1411" s="34"/>
      <c r="F1411" s="34"/>
      <c r="G1411" s="34"/>
      <c r="H1411" s="34"/>
      <c r="I1411" s="34"/>
      <c r="J1411" s="3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  <c r="CM1411" s="34"/>
      <c r="CN1411" s="34"/>
      <c r="CO1411" s="34"/>
      <c r="CP1411" s="34"/>
      <c r="CQ1411" s="34"/>
      <c r="CR1411" s="34"/>
      <c r="CS1411" s="34"/>
    </row>
    <row r="1412">
      <c r="A1412" s="34"/>
      <c r="B1412" s="34"/>
      <c r="C1412" s="34"/>
      <c r="D1412" s="34"/>
      <c r="E1412" s="34"/>
      <c r="F1412" s="34"/>
      <c r="G1412" s="34"/>
      <c r="H1412" s="34"/>
      <c r="I1412" s="34"/>
      <c r="J1412" s="3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  <c r="CM1412" s="34"/>
      <c r="CN1412" s="34"/>
      <c r="CO1412" s="34"/>
      <c r="CP1412" s="34"/>
      <c r="CQ1412" s="34"/>
      <c r="CR1412" s="34"/>
      <c r="CS1412" s="34"/>
    </row>
    <row r="1413">
      <c r="A1413" s="34"/>
      <c r="B1413" s="34"/>
      <c r="C1413" s="34"/>
      <c r="D1413" s="34"/>
      <c r="E1413" s="34"/>
      <c r="F1413" s="34"/>
      <c r="G1413" s="34"/>
      <c r="H1413" s="34"/>
      <c r="I1413" s="34"/>
      <c r="J1413" s="3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  <c r="CM1413" s="34"/>
      <c r="CN1413" s="34"/>
      <c r="CO1413" s="34"/>
      <c r="CP1413" s="34"/>
      <c r="CQ1413" s="34"/>
      <c r="CR1413" s="34"/>
      <c r="CS1413" s="34"/>
    </row>
    <row r="1414">
      <c r="A1414" s="34"/>
      <c r="B1414" s="34"/>
      <c r="C1414" s="34"/>
      <c r="D1414" s="34"/>
      <c r="E1414" s="34"/>
      <c r="F1414" s="34"/>
      <c r="G1414" s="34"/>
      <c r="H1414" s="34"/>
      <c r="I1414" s="34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  <c r="CM1414" s="34"/>
      <c r="CN1414" s="34"/>
      <c r="CO1414" s="34"/>
      <c r="CP1414" s="34"/>
      <c r="CQ1414" s="34"/>
      <c r="CR1414" s="34"/>
      <c r="CS1414" s="34"/>
    </row>
    <row r="1415">
      <c r="A1415" s="34"/>
      <c r="B1415" s="34"/>
      <c r="C1415" s="34"/>
      <c r="D1415" s="34"/>
      <c r="E1415" s="34"/>
      <c r="F1415" s="34"/>
      <c r="G1415" s="34"/>
      <c r="H1415" s="34"/>
      <c r="I1415" s="34"/>
      <c r="J1415" s="3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  <c r="CM1415" s="34"/>
      <c r="CN1415" s="34"/>
      <c r="CO1415" s="34"/>
      <c r="CP1415" s="34"/>
      <c r="CQ1415" s="34"/>
      <c r="CR1415" s="34"/>
      <c r="CS1415" s="34"/>
    </row>
    <row r="1416">
      <c r="A1416" s="34"/>
      <c r="B1416" s="34"/>
      <c r="C1416" s="34"/>
      <c r="D1416" s="34"/>
      <c r="E1416" s="34"/>
      <c r="F1416" s="34"/>
      <c r="G1416" s="34"/>
      <c r="H1416" s="34"/>
      <c r="I1416" s="34"/>
      <c r="J1416" s="3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  <c r="CM1416" s="34"/>
      <c r="CN1416" s="34"/>
      <c r="CO1416" s="34"/>
      <c r="CP1416" s="34"/>
      <c r="CQ1416" s="34"/>
      <c r="CR1416" s="34"/>
      <c r="CS1416" s="34"/>
    </row>
    <row r="1417">
      <c r="A1417" s="34"/>
      <c r="B1417" s="34"/>
      <c r="C1417" s="34"/>
      <c r="D1417" s="34"/>
      <c r="E1417" s="34"/>
      <c r="F1417" s="34"/>
      <c r="G1417" s="34"/>
      <c r="H1417" s="34"/>
      <c r="I1417" s="34"/>
      <c r="J1417" s="3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  <c r="CM1417" s="34"/>
      <c r="CN1417" s="34"/>
      <c r="CO1417" s="34"/>
      <c r="CP1417" s="34"/>
      <c r="CQ1417" s="34"/>
      <c r="CR1417" s="34"/>
      <c r="CS1417" s="34"/>
    </row>
    <row r="1418">
      <c r="A1418" s="34"/>
      <c r="B1418" s="34"/>
      <c r="C1418" s="34"/>
      <c r="D1418" s="34"/>
      <c r="E1418" s="34"/>
      <c r="F1418" s="34"/>
      <c r="G1418" s="34"/>
      <c r="H1418" s="34"/>
      <c r="I1418" s="34"/>
      <c r="J1418" s="3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  <c r="CM1418" s="34"/>
      <c r="CN1418" s="34"/>
      <c r="CO1418" s="34"/>
      <c r="CP1418" s="34"/>
      <c r="CQ1418" s="34"/>
      <c r="CR1418" s="34"/>
      <c r="CS1418" s="34"/>
    </row>
    <row r="1419">
      <c r="A1419" s="34"/>
      <c r="B1419" s="34"/>
      <c r="C1419" s="34"/>
      <c r="D1419" s="34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  <c r="CM1419" s="34"/>
      <c r="CN1419" s="34"/>
      <c r="CO1419" s="34"/>
      <c r="CP1419" s="34"/>
      <c r="CQ1419" s="34"/>
      <c r="CR1419" s="34"/>
      <c r="CS1419" s="34"/>
    </row>
    <row r="1420">
      <c r="A1420" s="34"/>
      <c r="B1420" s="34"/>
      <c r="C1420" s="34"/>
      <c r="D1420" s="34"/>
      <c r="E1420" s="34"/>
      <c r="F1420" s="34"/>
      <c r="G1420" s="34"/>
      <c r="H1420" s="34"/>
      <c r="I1420" s="34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  <c r="CM1420" s="34"/>
      <c r="CN1420" s="34"/>
      <c r="CO1420" s="34"/>
      <c r="CP1420" s="34"/>
      <c r="CQ1420" s="34"/>
      <c r="CR1420" s="34"/>
      <c r="CS1420" s="34"/>
    </row>
    <row r="1421">
      <c r="A1421" s="34"/>
      <c r="B1421" s="34"/>
      <c r="C1421" s="34"/>
      <c r="D1421" s="34"/>
      <c r="E1421" s="34"/>
      <c r="F1421" s="34"/>
      <c r="G1421" s="34"/>
      <c r="H1421" s="34"/>
      <c r="I1421" s="34"/>
      <c r="J1421" s="3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  <c r="CM1421" s="34"/>
      <c r="CN1421" s="34"/>
      <c r="CO1421" s="34"/>
      <c r="CP1421" s="34"/>
      <c r="CQ1421" s="34"/>
      <c r="CR1421" s="34"/>
      <c r="CS1421" s="34"/>
    </row>
    <row r="1422">
      <c r="A1422" s="34"/>
      <c r="B1422" s="34"/>
      <c r="C1422" s="34"/>
      <c r="D1422" s="34"/>
      <c r="E1422" s="34"/>
      <c r="F1422" s="34"/>
      <c r="G1422" s="34"/>
      <c r="H1422" s="34"/>
      <c r="I1422" s="34"/>
      <c r="J1422" s="3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  <c r="CM1422" s="34"/>
      <c r="CN1422" s="34"/>
      <c r="CO1422" s="34"/>
      <c r="CP1422" s="34"/>
      <c r="CQ1422" s="34"/>
      <c r="CR1422" s="34"/>
      <c r="CS1422" s="34"/>
    </row>
    <row r="1423">
      <c r="A1423" s="34"/>
      <c r="B1423" s="34"/>
      <c r="C1423" s="34"/>
      <c r="D1423" s="34"/>
      <c r="E1423" s="34"/>
      <c r="F1423" s="34"/>
      <c r="G1423" s="34"/>
      <c r="H1423" s="34"/>
      <c r="I1423" s="34"/>
      <c r="J1423" s="3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  <c r="CM1423" s="34"/>
      <c r="CN1423" s="34"/>
      <c r="CO1423" s="34"/>
      <c r="CP1423" s="34"/>
      <c r="CQ1423" s="34"/>
      <c r="CR1423" s="34"/>
      <c r="CS1423" s="34"/>
    </row>
    <row r="1424">
      <c r="A1424" s="34"/>
      <c r="B1424" s="34"/>
      <c r="C1424" s="34"/>
      <c r="D1424" s="34"/>
      <c r="E1424" s="34"/>
      <c r="F1424" s="34"/>
      <c r="G1424" s="34"/>
      <c r="H1424" s="34"/>
      <c r="I1424" s="34"/>
      <c r="J1424" s="3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  <c r="CM1424" s="34"/>
      <c r="CN1424" s="34"/>
      <c r="CO1424" s="34"/>
      <c r="CP1424" s="34"/>
      <c r="CQ1424" s="34"/>
      <c r="CR1424" s="34"/>
      <c r="CS1424" s="34"/>
    </row>
    <row r="1425">
      <c r="A1425" s="34"/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  <c r="CM1425" s="34"/>
      <c r="CN1425" s="34"/>
      <c r="CO1425" s="34"/>
      <c r="CP1425" s="34"/>
      <c r="CQ1425" s="34"/>
      <c r="CR1425" s="34"/>
      <c r="CS1425" s="34"/>
    </row>
    <row r="1426">
      <c r="A1426" s="34"/>
      <c r="B1426" s="34"/>
      <c r="C1426" s="34"/>
      <c r="D1426" s="34"/>
      <c r="E1426" s="34"/>
      <c r="F1426" s="34"/>
      <c r="G1426" s="34"/>
      <c r="H1426" s="34"/>
      <c r="I1426" s="34"/>
      <c r="J1426" s="3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  <c r="CM1426" s="34"/>
      <c r="CN1426" s="34"/>
      <c r="CO1426" s="34"/>
      <c r="CP1426" s="34"/>
      <c r="CQ1426" s="34"/>
      <c r="CR1426" s="34"/>
      <c r="CS1426" s="34"/>
    </row>
    <row r="1427">
      <c r="A1427" s="34"/>
      <c r="B1427" s="34"/>
      <c r="C1427" s="34"/>
      <c r="D1427" s="34"/>
      <c r="E1427" s="34"/>
      <c r="F1427" s="34"/>
      <c r="G1427" s="34"/>
      <c r="H1427" s="34"/>
      <c r="I1427" s="34"/>
      <c r="J1427" s="3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  <c r="CM1427" s="34"/>
      <c r="CN1427" s="34"/>
      <c r="CO1427" s="34"/>
      <c r="CP1427" s="34"/>
      <c r="CQ1427" s="34"/>
      <c r="CR1427" s="34"/>
      <c r="CS1427" s="34"/>
    </row>
    <row r="1428">
      <c r="A1428" s="34"/>
      <c r="B1428" s="34"/>
      <c r="C1428" s="34"/>
      <c r="D1428" s="34"/>
      <c r="E1428" s="34"/>
      <c r="F1428" s="34"/>
      <c r="G1428" s="34"/>
      <c r="H1428" s="34"/>
      <c r="I1428" s="34"/>
      <c r="J1428" s="3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  <c r="CM1428" s="34"/>
      <c r="CN1428" s="34"/>
      <c r="CO1428" s="34"/>
      <c r="CP1428" s="34"/>
      <c r="CQ1428" s="34"/>
      <c r="CR1428" s="34"/>
      <c r="CS1428" s="34"/>
    </row>
    <row r="1429">
      <c r="A1429" s="34"/>
      <c r="B1429" s="34"/>
      <c r="C1429" s="34"/>
      <c r="D1429" s="34"/>
      <c r="E1429" s="34"/>
      <c r="F1429" s="34"/>
      <c r="G1429" s="34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  <c r="CM1429" s="34"/>
      <c r="CN1429" s="34"/>
      <c r="CO1429" s="34"/>
      <c r="CP1429" s="34"/>
      <c r="CQ1429" s="34"/>
      <c r="CR1429" s="34"/>
      <c r="CS1429" s="34"/>
    </row>
    <row r="1430">
      <c r="A1430" s="34"/>
      <c r="B1430" s="34"/>
      <c r="C1430" s="34"/>
      <c r="D1430" s="34"/>
      <c r="E1430" s="34"/>
      <c r="F1430" s="34"/>
      <c r="G1430" s="34"/>
      <c r="H1430" s="34"/>
      <c r="I1430" s="34"/>
      <c r="J1430" s="3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  <c r="CM1430" s="34"/>
      <c r="CN1430" s="34"/>
      <c r="CO1430" s="34"/>
      <c r="CP1430" s="34"/>
      <c r="CQ1430" s="34"/>
      <c r="CR1430" s="34"/>
      <c r="CS1430" s="34"/>
    </row>
    <row r="1431">
      <c r="A1431" s="34"/>
      <c r="B1431" s="34"/>
      <c r="C1431" s="34"/>
      <c r="D1431" s="34"/>
      <c r="E1431" s="34"/>
      <c r="F1431" s="34"/>
      <c r="G1431" s="34"/>
      <c r="H1431" s="34"/>
      <c r="I1431" s="34"/>
      <c r="J1431" s="3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  <c r="CM1431" s="34"/>
      <c r="CN1431" s="34"/>
      <c r="CO1431" s="34"/>
      <c r="CP1431" s="34"/>
      <c r="CQ1431" s="34"/>
      <c r="CR1431" s="34"/>
      <c r="CS1431" s="34"/>
    </row>
    <row r="1432">
      <c r="A1432" s="34"/>
      <c r="B1432" s="34"/>
      <c r="C1432" s="34"/>
      <c r="D1432" s="34"/>
      <c r="E1432" s="34"/>
      <c r="F1432" s="34"/>
      <c r="G1432" s="34"/>
      <c r="H1432" s="34"/>
      <c r="I1432" s="34"/>
      <c r="J1432" s="3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  <c r="CM1432" s="34"/>
      <c r="CN1432" s="34"/>
      <c r="CO1432" s="34"/>
      <c r="CP1432" s="34"/>
      <c r="CQ1432" s="34"/>
      <c r="CR1432" s="34"/>
      <c r="CS1432" s="34"/>
    </row>
    <row r="1433">
      <c r="A1433" s="34"/>
      <c r="B1433" s="34"/>
      <c r="C1433" s="34"/>
      <c r="D1433" s="34"/>
      <c r="E1433" s="34"/>
      <c r="F1433" s="34"/>
      <c r="G1433" s="34"/>
      <c r="H1433" s="34"/>
      <c r="I1433" s="34"/>
      <c r="J1433" s="3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  <c r="CM1433" s="34"/>
      <c r="CN1433" s="34"/>
      <c r="CO1433" s="34"/>
      <c r="CP1433" s="34"/>
      <c r="CQ1433" s="34"/>
      <c r="CR1433" s="34"/>
      <c r="CS1433" s="34"/>
    </row>
    <row r="1434">
      <c r="A1434" s="34"/>
      <c r="B1434" s="34"/>
      <c r="C1434" s="34"/>
      <c r="D1434" s="34"/>
      <c r="E1434" s="34"/>
      <c r="F1434" s="34"/>
      <c r="G1434" s="34"/>
      <c r="H1434" s="34"/>
      <c r="I1434" s="34"/>
      <c r="J1434" s="3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  <c r="CM1434" s="34"/>
      <c r="CN1434" s="34"/>
      <c r="CO1434" s="34"/>
      <c r="CP1434" s="34"/>
      <c r="CQ1434" s="34"/>
      <c r="CR1434" s="34"/>
      <c r="CS1434" s="34"/>
    </row>
    <row r="1435">
      <c r="A1435" s="34"/>
      <c r="B1435" s="34"/>
      <c r="C1435" s="34"/>
      <c r="D1435" s="34"/>
      <c r="E1435" s="34"/>
      <c r="F1435" s="34"/>
      <c r="G1435" s="34"/>
      <c r="H1435" s="34"/>
      <c r="I1435" s="34"/>
      <c r="J1435" s="3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  <c r="CM1435" s="34"/>
      <c r="CN1435" s="34"/>
      <c r="CO1435" s="34"/>
      <c r="CP1435" s="34"/>
      <c r="CQ1435" s="34"/>
      <c r="CR1435" s="34"/>
      <c r="CS1435" s="34"/>
    </row>
    <row r="1436">
      <c r="A1436" s="34"/>
      <c r="B1436" s="34"/>
      <c r="C1436" s="34"/>
      <c r="D1436" s="34"/>
      <c r="E1436" s="34"/>
      <c r="F1436" s="34"/>
      <c r="G1436" s="34"/>
      <c r="H1436" s="34"/>
      <c r="I1436" s="34"/>
      <c r="J1436" s="3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  <c r="CM1436" s="34"/>
      <c r="CN1436" s="34"/>
      <c r="CO1436" s="34"/>
      <c r="CP1436" s="34"/>
      <c r="CQ1436" s="34"/>
      <c r="CR1436" s="34"/>
      <c r="CS1436" s="34"/>
    </row>
    <row r="1437">
      <c r="A1437" s="34"/>
      <c r="B1437" s="34"/>
      <c r="C1437" s="34"/>
      <c r="D1437" s="34"/>
      <c r="E1437" s="34"/>
      <c r="F1437" s="34"/>
      <c r="G1437" s="34"/>
      <c r="H1437" s="34"/>
      <c r="I1437" s="34"/>
      <c r="J1437" s="3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  <c r="CM1437" s="34"/>
      <c r="CN1437" s="34"/>
      <c r="CO1437" s="34"/>
      <c r="CP1437" s="34"/>
      <c r="CQ1437" s="34"/>
      <c r="CR1437" s="34"/>
      <c r="CS1437" s="34"/>
    </row>
    <row r="1438">
      <c r="A1438" s="34"/>
      <c r="B1438" s="34"/>
      <c r="C1438" s="34"/>
      <c r="D1438" s="34"/>
      <c r="E1438" s="34"/>
      <c r="F1438" s="34"/>
      <c r="G1438" s="34"/>
      <c r="H1438" s="34"/>
      <c r="I1438" s="34"/>
      <c r="J1438" s="3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  <c r="CM1438" s="34"/>
      <c r="CN1438" s="34"/>
      <c r="CO1438" s="34"/>
      <c r="CP1438" s="34"/>
      <c r="CQ1438" s="34"/>
      <c r="CR1438" s="34"/>
      <c r="CS1438" s="34"/>
    </row>
    <row r="1439">
      <c r="A1439" s="34"/>
      <c r="B1439" s="34"/>
      <c r="C1439" s="34"/>
      <c r="D1439" s="34"/>
      <c r="E1439" s="34"/>
      <c r="F1439" s="34"/>
      <c r="G1439" s="34"/>
      <c r="H1439" s="34"/>
      <c r="I1439" s="34"/>
      <c r="J1439" s="3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  <c r="CM1439" s="34"/>
      <c r="CN1439" s="34"/>
      <c r="CO1439" s="34"/>
      <c r="CP1439" s="34"/>
      <c r="CQ1439" s="34"/>
      <c r="CR1439" s="34"/>
      <c r="CS1439" s="34"/>
    </row>
    <row r="1440">
      <c r="A1440" s="34"/>
      <c r="B1440" s="34"/>
      <c r="C1440" s="34"/>
      <c r="D1440" s="34"/>
      <c r="E1440" s="34"/>
      <c r="F1440" s="34"/>
      <c r="G1440" s="34"/>
      <c r="H1440" s="34"/>
      <c r="I1440" s="34"/>
      <c r="J1440" s="3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  <c r="CM1440" s="34"/>
      <c r="CN1440" s="34"/>
      <c r="CO1440" s="34"/>
      <c r="CP1440" s="34"/>
      <c r="CQ1440" s="34"/>
      <c r="CR1440" s="34"/>
      <c r="CS1440" s="34"/>
    </row>
    <row r="1441">
      <c r="A1441" s="34"/>
      <c r="B1441" s="34"/>
      <c r="C1441" s="34"/>
      <c r="D1441" s="34"/>
      <c r="E1441" s="34"/>
      <c r="F1441" s="34"/>
      <c r="G1441" s="34"/>
      <c r="H1441" s="34"/>
      <c r="I1441" s="34"/>
      <c r="J1441" s="3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  <c r="CM1441" s="34"/>
      <c r="CN1441" s="34"/>
      <c r="CO1441" s="34"/>
      <c r="CP1441" s="34"/>
      <c r="CQ1441" s="34"/>
      <c r="CR1441" s="34"/>
      <c r="CS1441" s="34"/>
    </row>
    <row r="1442">
      <c r="A1442" s="34"/>
      <c r="B1442" s="34"/>
      <c r="C1442" s="34"/>
      <c r="D1442" s="34"/>
      <c r="E1442" s="34"/>
      <c r="F1442" s="34"/>
      <c r="G1442" s="34"/>
      <c r="H1442" s="34"/>
      <c r="I1442" s="34"/>
      <c r="J1442" s="3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  <c r="CM1442" s="34"/>
      <c r="CN1442" s="34"/>
      <c r="CO1442" s="34"/>
      <c r="CP1442" s="34"/>
      <c r="CQ1442" s="34"/>
      <c r="CR1442" s="34"/>
      <c r="CS1442" s="34"/>
    </row>
    <row r="1443">
      <c r="A1443" s="34"/>
      <c r="B1443" s="34"/>
      <c r="C1443" s="34"/>
      <c r="D1443" s="34"/>
      <c r="E1443" s="34"/>
      <c r="F1443" s="34"/>
      <c r="G1443" s="34"/>
      <c r="H1443" s="34"/>
      <c r="I1443" s="34"/>
      <c r="J1443" s="3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  <c r="CM1443" s="34"/>
      <c r="CN1443" s="34"/>
      <c r="CO1443" s="34"/>
      <c r="CP1443" s="34"/>
      <c r="CQ1443" s="34"/>
      <c r="CR1443" s="34"/>
      <c r="CS1443" s="34"/>
    </row>
    <row r="1444">
      <c r="A1444" s="34"/>
      <c r="B1444" s="34"/>
      <c r="C1444" s="34"/>
      <c r="D1444" s="34"/>
      <c r="E1444" s="34"/>
      <c r="F1444" s="34"/>
      <c r="G1444" s="34"/>
      <c r="H1444" s="34"/>
      <c r="I1444" s="34"/>
      <c r="J1444" s="3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  <c r="CM1444" s="34"/>
      <c r="CN1444" s="34"/>
      <c r="CO1444" s="34"/>
      <c r="CP1444" s="34"/>
      <c r="CQ1444" s="34"/>
      <c r="CR1444" s="34"/>
      <c r="CS1444" s="34"/>
    </row>
    <row r="1445">
      <c r="A1445" s="34"/>
      <c r="B1445" s="34"/>
      <c r="C1445" s="34"/>
      <c r="D1445" s="34"/>
      <c r="E1445" s="34"/>
      <c r="F1445" s="34"/>
      <c r="G1445" s="34"/>
      <c r="H1445" s="34"/>
      <c r="I1445" s="34"/>
      <c r="J1445" s="3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  <c r="CM1445" s="34"/>
      <c r="CN1445" s="34"/>
      <c r="CO1445" s="34"/>
      <c r="CP1445" s="34"/>
      <c r="CQ1445" s="34"/>
      <c r="CR1445" s="34"/>
      <c r="CS1445" s="34"/>
    </row>
    <row r="1446">
      <c r="A1446" s="34"/>
      <c r="B1446" s="34"/>
      <c r="C1446" s="34"/>
      <c r="D1446" s="34"/>
      <c r="E1446" s="34"/>
      <c r="F1446" s="34"/>
      <c r="G1446" s="34"/>
      <c r="H1446" s="34"/>
      <c r="I1446" s="34"/>
      <c r="J1446" s="3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  <c r="CM1446" s="34"/>
      <c r="CN1446" s="34"/>
      <c r="CO1446" s="34"/>
      <c r="CP1446" s="34"/>
      <c r="CQ1446" s="34"/>
      <c r="CR1446" s="34"/>
      <c r="CS1446" s="34"/>
    </row>
    <row r="1447">
      <c r="A1447" s="34"/>
      <c r="B1447" s="34"/>
      <c r="C1447" s="34"/>
      <c r="D1447" s="34"/>
      <c r="E1447" s="34"/>
      <c r="F1447" s="34"/>
      <c r="G1447" s="34"/>
      <c r="H1447" s="34"/>
      <c r="I1447" s="34"/>
      <c r="J1447" s="3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  <c r="CM1447" s="34"/>
      <c r="CN1447" s="34"/>
      <c r="CO1447" s="34"/>
      <c r="CP1447" s="34"/>
      <c r="CQ1447" s="34"/>
      <c r="CR1447" s="34"/>
      <c r="CS1447" s="34"/>
    </row>
    <row r="1448">
      <c r="A1448" s="34"/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  <c r="CM1448" s="34"/>
      <c r="CN1448" s="34"/>
      <c r="CO1448" s="34"/>
      <c r="CP1448" s="34"/>
      <c r="CQ1448" s="34"/>
      <c r="CR1448" s="34"/>
      <c r="CS1448" s="34"/>
    </row>
    <row r="1449">
      <c r="A1449" s="34"/>
      <c r="B1449" s="34"/>
      <c r="C1449" s="34"/>
      <c r="D1449" s="34"/>
      <c r="E1449" s="34"/>
      <c r="F1449" s="34"/>
      <c r="G1449" s="34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  <c r="CM1449" s="34"/>
      <c r="CN1449" s="34"/>
      <c r="CO1449" s="34"/>
      <c r="CP1449" s="34"/>
      <c r="CQ1449" s="34"/>
      <c r="CR1449" s="34"/>
      <c r="CS1449" s="34"/>
    </row>
    <row r="1450">
      <c r="A1450" s="34"/>
      <c r="B1450" s="34"/>
      <c r="C1450" s="34"/>
      <c r="D1450" s="34"/>
      <c r="E1450" s="34"/>
      <c r="F1450" s="34"/>
      <c r="G1450" s="34"/>
      <c r="H1450" s="34"/>
      <c r="I1450" s="34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  <c r="CM1450" s="34"/>
      <c r="CN1450" s="34"/>
      <c r="CO1450" s="34"/>
      <c r="CP1450" s="34"/>
      <c r="CQ1450" s="34"/>
      <c r="CR1450" s="34"/>
      <c r="CS1450" s="34"/>
    </row>
    <row r="1451">
      <c r="A1451" s="34"/>
      <c r="B1451" s="34"/>
      <c r="C1451" s="34"/>
      <c r="D1451" s="34"/>
      <c r="E1451" s="34"/>
      <c r="F1451" s="34"/>
      <c r="G1451" s="34"/>
      <c r="H1451" s="34"/>
      <c r="I1451" s="34"/>
      <c r="J1451" s="3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  <c r="CM1451" s="34"/>
      <c r="CN1451" s="34"/>
      <c r="CO1451" s="34"/>
      <c r="CP1451" s="34"/>
      <c r="CQ1451" s="34"/>
      <c r="CR1451" s="34"/>
      <c r="CS1451" s="34"/>
    </row>
    <row r="1452">
      <c r="A1452" s="34"/>
      <c r="B1452" s="34"/>
      <c r="C1452" s="34"/>
      <c r="D1452" s="34"/>
      <c r="E1452" s="34"/>
      <c r="F1452" s="34"/>
      <c r="G1452" s="34"/>
      <c r="H1452" s="34"/>
      <c r="I1452" s="34"/>
      <c r="J1452" s="3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  <c r="CM1452" s="34"/>
      <c r="CN1452" s="34"/>
      <c r="CO1452" s="34"/>
      <c r="CP1452" s="34"/>
      <c r="CQ1452" s="34"/>
      <c r="CR1452" s="34"/>
      <c r="CS1452" s="34"/>
    </row>
    <row r="1453">
      <c r="A1453" s="34"/>
      <c r="B1453" s="34"/>
      <c r="C1453" s="34"/>
      <c r="D1453" s="34"/>
      <c r="E1453" s="34"/>
      <c r="F1453" s="34"/>
      <c r="G1453" s="34"/>
      <c r="H1453" s="34"/>
      <c r="I1453" s="34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  <c r="CM1453" s="34"/>
      <c r="CN1453" s="34"/>
      <c r="CO1453" s="34"/>
      <c r="CP1453" s="34"/>
      <c r="CQ1453" s="34"/>
      <c r="CR1453" s="34"/>
      <c r="CS1453" s="34"/>
    </row>
    <row r="1454">
      <c r="A1454" s="34"/>
      <c r="B1454" s="34"/>
      <c r="C1454" s="34"/>
      <c r="D1454" s="34"/>
      <c r="E1454" s="34"/>
      <c r="F1454" s="34"/>
      <c r="G1454" s="34"/>
      <c r="H1454" s="34"/>
      <c r="I1454" s="34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  <c r="CM1454" s="34"/>
      <c r="CN1454" s="34"/>
      <c r="CO1454" s="34"/>
      <c r="CP1454" s="34"/>
      <c r="CQ1454" s="34"/>
      <c r="CR1454" s="34"/>
      <c r="CS1454" s="34"/>
    </row>
    <row r="1455">
      <c r="A1455" s="34"/>
      <c r="B1455" s="34"/>
      <c r="C1455" s="34"/>
      <c r="D1455" s="34"/>
      <c r="E1455" s="34"/>
      <c r="F1455" s="34"/>
      <c r="G1455" s="34"/>
      <c r="H1455" s="34"/>
      <c r="I1455" s="34"/>
      <c r="J1455" s="3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  <c r="CM1455" s="34"/>
      <c r="CN1455" s="34"/>
      <c r="CO1455" s="34"/>
      <c r="CP1455" s="34"/>
      <c r="CQ1455" s="34"/>
      <c r="CR1455" s="34"/>
      <c r="CS1455" s="34"/>
    </row>
    <row r="1456">
      <c r="A1456" s="34"/>
      <c r="B1456" s="34"/>
      <c r="C1456" s="34"/>
      <c r="D1456" s="34"/>
      <c r="E1456" s="34"/>
      <c r="F1456" s="34"/>
      <c r="G1456" s="34"/>
      <c r="H1456" s="34"/>
      <c r="I1456" s="34"/>
      <c r="J1456" s="3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  <c r="CM1456" s="34"/>
      <c r="CN1456" s="34"/>
      <c r="CO1456" s="34"/>
      <c r="CP1456" s="34"/>
      <c r="CQ1456" s="34"/>
      <c r="CR1456" s="34"/>
      <c r="CS1456" s="34"/>
    </row>
    <row r="1457">
      <c r="A1457" s="34"/>
      <c r="B1457" s="34"/>
      <c r="C1457" s="34"/>
      <c r="D1457" s="34"/>
      <c r="E1457" s="34"/>
      <c r="F1457" s="34"/>
      <c r="G1457" s="34"/>
      <c r="H1457" s="34"/>
      <c r="I1457" s="34"/>
      <c r="J1457" s="3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  <c r="CM1457" s="34"/>
      <c r="CN1457" s="34"/>
      <c r="CO1457" s="34"/>
      <c r="CP1457" s="34"/>
      <c r="CQ1457" s="34"/>
      <c r="CR1457" s="34"/>
      <c r="CS1457" s="34"/>
    </row>
    <row r="1458">
      <c r="A1458" s="34"/>
      <c r="B1458" s="34"/>
      <c r="C1458" s="34"/>
      <c r="D1458" s="34"/>
      <c r="E1458" s="34"/>
      <c r="F1458" s="34"/>
      <c r="G1458" s="34"/>
      <c r="H1458" s="34"/>
      <c r="I1458" s="34"/>
      <c r="J1458" s="3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  <c r="CM1458" s="34"/>
      <c r="CN1458" s="34"/>
      <c r="CO1458" s="34"/>
      <c r="CP1458" s="34"/>
      <c r="CQ1458" s="34"/>
      <c r="CR1458" s="34"/>
      <c r="CS1458" s="34"/>
    </row>
    <row r="1459">
      <c r="A1459" s="34"/>
      <c r="B1459" s="34"/>
      <c r="C1459" s="34"/>
      <c r="D1459" s="34"/>
      <c r="E1459" s="34"/>
      <c r="F1459" s="34"/>
      <c r="G1459" s="34"/>
      <c r="H1459" s="34"/>
      <c r="I1459" s="34"/>
      <c r="J1459" s="3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  <c r="CM1459" s="34"/>
      <c r="CN1459" s="34"/>
      <c r="CO1459" s="34"/>
      <c r="CP1459" s="34"/>
      <c r="CQ1459" s="34"/>
      <c r="CR1459" s="34"/>
      <c r="CS1459" s="34"/>
    </row>
    <row r="1460">
      <c r="A1460" s="34"/>
      <c r="B1460" s="34"/>
      <c r="C1460" s="34"/>
      <c r="D1460" s="34"/>
      <c r="E1460" s="34"/>
      <c r="F1460" s="34"/>
      <c r="G1460" s="34"/>
      <c r="H1460" s="34"/>
      <c r="I1460" s="34"/>
      <c r="J1460" s="3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  <c r="CM1460" s="34"/>
      <c r="CN1460" s="34"/>
      <c r="CO1460" s="34"/>
      <c r="CP1460" s="34"/>
      <c r="CQ1460" s="34"/>
      <c r="CR1460" s="34"/>
      <c r="CS1460" s="34"/>
    </row>
    <row r="1461">
      <c r="A1461" s="34"/>
      <c r="B1461" s="34"/>
      <c r="C1461" s="34"/>
      <c r="D1461" s="34"/>
      <c r="E1461" s="34"/>
      <c r="F1461" s="34"/>
      <c r="G1461" s="34"/>
      <c r="H1461" s="34"/>
      <c r="I1461" s="34"/>
      <c r="J1461" s="3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  <c r="CM1461" s="34"/>
      <c r="CN1461" s="34"/>
      <c r="CO1461" s="34"/>
      <c r="CP1461" s="34"/>
      <c r="CQ1461" s="34"/>
      <c r="CR1461" s="34"/>
      <c r="CS1461" s="34"/>
    </row>
    <row r="1462">
      <c r="A1462" s="34"/>
      <c r="B1462" s="34"/>
      <c r="C1462" s="34"/>
      <c r="D1462" s="34"/>
      <c r="E1462" s="34"/>
      <c r="F1462" s="34"/>
      <c r="G1462" s="34"/>
      <c r="H1462" s="34"/>
      <c r="I1462" s="34"/>
      <c r="J1462" s="3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  <c r="CM1462" s="34"/>
      <c r="CN1462" s="34"/>
      <c r="CO1462" s="34"/>
      <c r="CP1462" s="34"/>
      <c r="CQ1462" s="34"/>
      <c r="CR1462" s="34"/>
      <c r="CS1462" s="34"/>
    </row>
    <row r="1463">
      <c r="A1463" s="34"/>
      <c r="B1463" s="34"/>
      <c r="C1463" s="34"/>
      <c r="D1463" s="34"/>
      <c r="E1463" s="34"/>
      <c r="F1463" s="34"/>
      <c r="G1463" s="34"/>
      <c r="H1463" s="34"/>
      <c r="I1463" s="34"/>
      <c r="J1463" s="3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  <c r="CM1463" s="34"/>
      <c r="CN1463" s="34"/>
      <c r="CO1463" s="34"/>
      <c r="CP1463" s="34"/>
      <c r="CQ1463" s="34"/>
      <c r="CR1463" s="34"/>
      <c r="CS1463" s="34"/>
    </row>
    <row r="1464">
      <c r="A1464" s="34"/>
      <c r="B1464" s="34"/>
      <c r="C1464" s="34"/>
      <c r="D1464" s="34"/>
      <c r="E1464" s="34"/>
      <c r="F1464" s="34"/>
      <c r="G1464" s="34"/>
      <c r="H1464" s="34"/>
      <c r="I1464" s="34"/>
      <c r="J1464" s="3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  <c r="CM1464" s="34"/>
      <c r="CN1464" s="34"/>
      <c r="CO1464" s="34"/>
      <c r="CP1464" s="34"/>
      <c r="CQ1464" s="34"/>
      <c r="CR1464" s="34"/>
      <c r="CS1464" s="34"/>
    </row>
    <row r="1465">
      <c r="A1465" s="34"/>
      <c r="B1465" s="34"/>
      <c r="C1465" s="34"/>
      <c r="D1465" s="34"/>
      <c r="E1465" s="34"/>
      <c r="F1465" s="34"/>
      <c r="G1465" s="34"/>
      <c r="H1465" s="34"/>
      <c r="I1465" s="34"/>
      <c r="J1465" s="3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  <c r="CM1465" s="34"/>
      <c r="CN1465" s="34"/>
      <c r="CO1465" s="34"/>
      <c r="CP1465" s="34"/>
      <c r="CQ1465" s="34"/>
      <c r="CR1465" s="34"/>
      <c r="CS1465" s="34"/>
    </row>
    <row r="1466">
      <c r="A1466" s="34"/>
      <c r="B1466" s="34"/>
      <c r="C1466" s="34"/>
      <c r="D1466" s="34"/>
      <c r="E1466" s="34"/>
      <c r="F1466" s="34"/>
      <c r="G1466" s="34"/>
      <c r="H1466" s="34"/>
      <c r="I1466" s="34"/>
      <c r="J1466" s="3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  <c r="CM1466" s="34"/>
      <c r="CN1466" s="34"/>
      <c r="CO1466" s="34"/>
      <c r="CP1466" s="34"/>
      <c r="CQ1466" s="34"/>
      <c r="CR1466" s="34"/>
      <c r="CS1466" s="34"/>
    </row>
    <row r="1467">
      <c r="A1467" s="34"/>
      <c r="B1467" s="34"/>
      <c r="C1467" s="34"/>
      <c r="D1467" s="34"/>
      <c r="E1467" s="34"/>
      <c r="F1467" s="34"/>
      <c r="G1467" s="34"/>
      <c r="H1467" s="34"/>
      <c r="I1467" s="34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  <c r="CM1467" s="34"/>
      <c r="CN1467" s="34"/>
      <c r="CO1467" s="34"/>
      <c r="CP1467" s="34"/>
      <c r="CQ1467" s="34"/>
      <c r="CR1467" s="34"/>
      <c r="CS1467" s="34"/>
    </row>
    <row r="1468">
      <c r="A1468" s="34"/>
      <c r="B1468" s="34"/>
      <c r="C1468" s="34"/>
      <c r="D1468" s="34"/>
      <c r="E1468" s="34"/>
      <c r="F1468" s="34"/>
      <c r="G1468" s="34"/>
      <c r="H1468" s="34"/>
      <c r="I1468" s="34"/>
      <c r="J1468" s="3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  <c r="CM1468" s="34"/>
      <c r="CN1468" s="34"/>
      <c r="CO1468" s="34"/>
      <c r="CP1468" s="34"/>
      <c r="CQ1468" s="34"/>
      <c r="CR1468" s="34"/>
      <c r="CS1468" s="34"/>
    </row>
    <row r="1469">
      <c r="A1469" s="34"/>
      <c r="B1469" s="34"/>
      <c r="C1469" s="34"/>
      <c r="D1469" s="34"/>
      <c r="E1469" s="34"/>
      <c r="F1469" s="34"/>
      <c r="G1469" s="34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  <c r="CM1469" s="34"/>
      <c r="CN1469" s="34"/>
      <c r="CO1469" s="34"/>
      <c r="CP1469" s="34"/>
      <c r="CQ1469" s="34"/>
      <c r="CR1469" s="34"/>
      <c r="CS1469" s="34"/>
    </row>
    <row r="1470">
      <c r="A1470" s="34"/>
      <c r="B1470" s="34"/>
      <c r="C1470" s="34"/>
      <c r="D1470" s="34"/>
      <c r="E1470" s="34"/>
      <c r="F1470" s="34"/>
      <c r="G1470" s="34"/>
      <c r="H1470" s="34"/>
      <c r="I1470" s="34"/>
      <c r="J1470" s="3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  <c r="CM1470" s="34"/>
      <c r="CN1470" s="34"/>
      <c r="CO1470" s="34"/>
      <c r="CP1470" s="34"/>
      <c r="CQ1470" s="34"/>
      <c r="CR1470" s="34"/>
      <c r="CS1470" s="34"/>
    </row>
    <row r="1471">
      <c r="A1471" s="34"/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  <c r="CM1471" s="34"/>
      <c r="CN1471" s="34"/>
      <c r="CO1471" s="34"/>
      <c r="CP1471" s="34"/>
      <c r="CQ1471" s="34"/>
      <c r="CR1471" s="34"/>
      <c r="CS1471" s="34"/>
    </row>
    <row r="1472">
      <c r="A1472" s="34"/>
      <c r="B1472" s="34"/>
      <c r="C1472" s="34"/>
      <c r="D1472" s="34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  <c r="CM1472" s="34"/>
      <c r="CN1472" s="34"/>
      <c r="CO1472" s="34"/>
      <c r="CP1472" s="34"/>
      <c r="CQ1472" s="34"/>
      <c r="CR1472" s="34"/>
      <c r="CS1472" s="34"/>
    </row>
    <row r="1473">
      <c r="A1473" s="34"/>
      <c r="B1473" s="34"/>
      <c r="C1473" s="34"/>
      <c r="D1473" s="34"/>
      <c r="E1473" s="34"/>
      <c r="F1473" s="34"/>
      <c r="G1473" s="34"/>
      <c r="H1473" s="34"/>
      <c r="I1473" s="34"/>
      <c r="J1473" s="3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  <c r="CM1473" s="34"/>
      <c r="CN1473" s="34"/>
      <c r="CO1473" s="34"/>
      <c r="CP1473" s="34"/>
      <c r="CQ1473" s="34"/>
      <c r="CR1473" s="34"/>
      <c r="CS1473" s="34"/>
    </row>
    <row r="1474">
      <c r="A1474" s="34"/>
      <c r="B1474" s="34"/>
      <c r="C1474" s="34"/>
      <c r="D1474" s="34"/>
      <c r="E1474" s="34"/>
      <c r="F1474" s="34"/>
      <c r="G1474" s="34"/>
      <c r="H1474" s="34"/>
      <c r="I1474" s="34"/>
      <c r="J1474" s="3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  <c r="CM1474" s="34"/>
      <c r="CN1474" s="34"/>
      <c r="CO1474" s="34"/>
      <c r="CP1474" s="34"/>
      <c r="CQ1474" s="34"/>
      <c r="CR1474" s="34"/>
      <c r="CS1474" s="34"/>
    </row>
    <row r="1475">
      <c r="A1475" s="34"/>
      <c r="B1475" s="34"/>
      <c r="C1475" s="34"/>
      <c r="D1475" s="34"/>
      <c r="E1475" s="34"/>
      <c r="F1475" s="34"/>
      <c r="G1475" s="34"/>
      <c r="H1475" s="34"/>
      <c r="I1475" s="34"/>
      <c r="J1475" s="3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  <c r="CM1475" s="34"/>
      <c r="CN1475" s="34"/>
      <c r="CO1475" s="34"/>
      <c r="CP1475" s="34"/>
      <c r="CQ1475" s="34"/>
      <c r="CR1475" s="34"/>
      <c r="CS1475" s="34"/>
    </row>
    <row r="1476">
      <c r="A1476" s="34"/>
      <c r="B1476" s="34"/>
      <c r="C1476" s="34"/>
      <c r="D1476" s="34"/>
      <c r="E1476" s="34"/>
      <c r="F1476" s="34"/>
      <c r="G1476" s="34"/>
      <c r="H1476" s="34"/>
      <c r="I1476" s="34"/>
      <c r="J1476" s="3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  <c r="CM1476" s="34"/>
      <c r="CN1476" s="34"/>
      <c r="CO1476" s="34"/>
      <c r="CP1476" s="34"/>
      <c r="CQ1476" s="34"/>
      <c r="CR1476" s="34"/>
      <c r="CS1476" s="34"/>
    </row>
    <row r="1477">
      <c r="A1477" s="34"/>
      <c r="B1477" s="34"/>
      <c r="C1477" s="34"/>
      <c r="D1477" s="34"/>
      <c r="E1477" s="34"/>
      <c r="F1477" s="34"/>
      <c r="G1477" s="34"/>
      <c r="H1477" s="34"/>
      <c r="I1477" s="34"/>
      <c r="J1477" s="3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  <c r="CM1477" s="34"/>
      <c r="CN1477" s="34"/>
      <c r="CO1477" s="34"/>
      <c r="CP1477" s="34"/>
      <c r="CQ1477" s="34"/>
      <c r="CR1477" s="34"/>
      <c r="CS1477" s="34"/>
    </row>
    <row r="1478">
      <c r="A1478" s="34"/>
      <c r="B1478" s="34"/>
      <c r="C1478" s="34"/>
      <c r="D1478" s="34"/>
      <c r="E1478" s="34"/>
      <c r="F1478" s="34"/>
      <c r="G1478" s="34"/>
      <c r="H1478" s="34"/>
      <c r="I1478" s="34"/>
      <c r="J1478" s="3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  <c r="CM1478" s="34"/>
      <c r="CN1478" s="34"/>
      <c r="CO1478" s="34"/>
      <c r="CP1478" s="34"/>
      <c r="CQ1478" s="34"/>
      <c r="CR1478" s="34"/>
      <c r="CS1478" s="34"/>
    </row>
    <row r="1479">
      <c r="A1479" s="34"/>
      <c r="B1479" s="34"/>
      <c r="C1479" s="34"/>
      <c r="D1479" s="34"/>
      <c r="E1479" s="34"/>
      <c r="F1479" s="34"/>
      <c r="G1479" s="34"/>
      <c r="H1479" s="34"/>
      <c r="I1479" s="34"/>
      <c r="J1479" s="3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  <c r="CM1479" s="34"/>
      <c r="CN1479" s="34"/>
      <c r="CO1479" s="34"/>
      <c r="CP1479" s="34"/>
      <c r="CQ1479" s="34"/>
      <c r="CR1479" s="34"/>
      <c r="CS1479" s="34"/>
    </row>
    <row r="1480">
      <c r="A1480" s="34"/>
      <c r="B1480" s="34"/>
      <c r="C1480" s="34"/>
      <c r="D1480" s="34"/>
      <c r="E1480" s="34"/>
      <c r="F1480" s="34"/>
      <c r="G1480" s="34"/>
      <c r="H1480" s="34"/>
      <c r="I1480" s="34"/>
      <c r="J1480" s="3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  <c r="CM1480" s="34"/>
      <c r="CN1480" s="34"/>
      <c r="CO1480" s="34"/>
      <c r="CP1480" s="34"/>
      <c r="CQ1480" s="34"/>
      <c r="CR1480" s="34"/>
      <c r="CS1480" s="34"/>
    </row>
    <row r="1481">
      <c r="A1481" s="34"/>
      <c r="B1481" s="34"/>
      <c r="C1481" s="34"/>
      <c r="D1481" s="34"/>
      <c r="E1481" s="34"/>
      <c r="F1481" s="34"/>
      <c r="G1481" s="34"/>
      <c r="H1481" s="34"/>
      <c r="I1481" s="34"/>
      <c r="J1481" s="3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  <c r="CM1481" s="34"/>
      <c r="CN1481" s="34"/>
      <c r="CO1481" s="34"/>
      <c r="CP1481" s="34"/>
      <c r="CQ1481" s="34"/>
      <c r="CR1481" s="34"/>
      <c r="CS1481" s="34"/>
    </row>
    <row r="1482">
      <c r="A1482" s="34"/>
      <c r="B1482" s="34"/>
      <c r="C1482" s="34"/>
      <c r="D1482" s="34"/>
      <c r="E1482" s="34"/>
      <c r="F1482" s="34"/>
      <c r="G1482" s="34"/>
      <c r="H1482" s="34"/>
      <c r="I1482" s="34"/>
      <c r="J1482" s="3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  <c r="CM1482" s="34"/>
      <c r="CN1482" s="34"/>
      <c r="CO1482" s="34"/>
      <c r="CP1482" s="34"/>
      <c r="CQ1482" s="34"/>
      <c r="CR1482" s="34"/>
      <c r="CS1482" s="34"/>
    </row>
    <row r="1483">
      <c r="A1483" s="34"/>
      <c r="B1483" s="34"/>
      <c r="C1483" s="34"/>
      <c r="D1483" s="34"/>
      <c r="E1483" s="34"/>
      <c r="F1483" s="34"/>
      <c r="G1483" s="34"/>
      <c r="H1483" s="34"/>
      <c r="I1483" s="34"/>
      <c r="J1483" s="3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  <c r="CM1483" s="34"/>
      <c r="CN1483" s="34"/>
      <c r="CO1483" s="34"/>
      <c r="CP1483" s="34"/>
      <c r="CQ1483" s="34"/>
      <c r="CR1483" s="34"/>
      <c r="CS1483" s="34"/>
    </row>
    <row r="1484">
      <c r="A1484" s="34"/>
      <c r="B1484" s="34"/>
      <c r="C1484" s="34"/>
      <c r="D1484" s="34"/>
      <c r="E1484" s="34"/>
      <c r="F1484" s="34"/>
      <c r="G1484" s="34"/>
      <c r="H1484" s="34"/>
      <c r="I1484" s="34"/>
      <c r="J1484" s="3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  <c r="CM1484" s="34"/>
      <c r="CN1484" s="34"/>
      <c r="CO1484" s="34"/>
      <c r="CP1484" s="34"/>
      <c r="CQ1484" s="34"/>
      <c r="CR1484" s="34"/>
      <c r="CS1484" s="34"/>
    </row>
    <row r="1485">
      <c r="A1485" s="34"/>
      <c r="B1485" s="34"/>
      <c r="C1485" s="34"/>
      <c r="D1485" s="34"/>
      <c r="E1485" s="34"/>
      <c r="F1485" s="34"/>
      <c r="G1485" s="34"/>
      <c r="H1485" s="34"/>
      <c r="I1485" s="34"/>
      <c r="J1485" s="3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  <c r="CM1485" s="34"/>
      <c r="CN1485" s="34"/>
      <c r="CO1485" s="34"/>
      <c r="CP1485" s="34"/>
      <c r="CQ1485" s="34"/>
      <c r="CR1485" s="34"/>
      <c r="CS1485" s="34"/>
    </row>
    <row r="1486">
      <c r="A1486" s="34"/>
      <c r="B1486" s="34"/>
      <c r="C1486" s="34"/>
      <c r="D1486" s="34"/>
      <c r="E1486" s="34"/>
      <c r="F1486" s="34"/>
      <c r="G1486" s="34"/>
      <c r="H1486" s="34"/>
      <c r="I1486" s="34"/>
      <c r="J1486" s="3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  <c r="CM1486" s="34"/>
      <c r="CN1486" s="34"/>
      <c r="CO1486" s="34"/>
      <c r="CP1486" s="34"/>
      <c r="CQ1486" s="34"/>
      <c r="CR1486" s="34"/>
      <c r="CS1486" s="34"/>
    </row>
    <row r="1487">
      <c r="A1487" s="34"/>
      <c r="B1487" s="34"/>
      <c r="C1487" s="34"/>
      <c r="D1487" s="34"/>
      <c r="E1487" s="34"/>
      <c r="F1487" s="34"/>
      <c r="G1487" s="34"/>
      <c r="H1487" s="34"/>
      <c r="I1487" s="34"/>
      <c r="J1487" s="3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  <c r="CM1487" s="34"/>
      <c r="CN1487" s="34"/>
      <c r="CO1487" s="34"/>
      <c r="CP1487" s="34"/>
      <c r="CQ1487" s="34"/>
      <c r="CR1487" s="34"/>
      <c r="CS1487" s="34"/>
    </row>
    <row r="1488">
      <c r="A1488" s="34"/>
      <c r="B1488" s="34"/>
      <c r="C1488" s="34"/>
      <c r="D1488" s="34"/>
      <c r="E1488" s="34"/>
      <c r="F1488" s="34"/>
      <c r="G1488" s="34"/>
      <c r="H1488" s="34"/>
      <c r="I1488" s="34"/>
      <c r="J1488" s="3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  <c r="CM1488" s="34"/>
      <c r="CN1488" s="34"/>
      <c r="CO1488" s="34"/>
      <c r="CP1488" s="34"/>
      <c r="CQ1488" s="34"/>
      <c r="CR1488" s="34"/>
      <c r="CS1488" s="34"/>
    </row>
    <row r="1489">
      <c r="A1489" s="34"/>
      <c r="B1489" s="34"/>
      <c r="C1489" s="34"/>
      <c r="D1489" s="34"/>
      <c r="E1489" s="34"/>
      <c r="F1489" s="34"/>
      <c r="G1489" s="34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  <c r="CM1489" s="34"/>
      <c r="CN1489" s="34"/>
      <c r="CO1489" s="34"/>
      <c r="CP1489" s="34"/>
      <c r="CQ1489" s="34"/>
      <c r="CR1489" s="34"/>
      <c r="CS1489" s="34"/>
    </row>
    <row r="1490">
      <c r="A1490" s="34"/>
      <c r="B1490" s="34"/>
      <c r="C1490" s="34"/>
      <c r="D1490" s="34"/>
      <c r="E1490" s="34"/>
      <c r="F1490" s="34"/>
      <c r="G1490" s="34"/>
      <c r="H1490" s="34"/>
      <c r="I1490" s="34"/>
      <c r="J1490" s="3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  <c r="CM1490" s="34"/>
      <c r="CN1490" s="34"/>
      <c r="CO1490" s="34"/>
      <c r="CP1490" s="34"/>
      <c r="CQ1490" s="34"/>
      <c r="CR1490" s="34"/>
      <c r="CS1490" s="34"/>
    </row>
    <row r="1491">
      <c r="A1491" s="34"/>
      <c r="B1491" s="34"/>
      <c r="C1491" s="34"/>
      <c r="D1491" s="34"/>
      <c r="E1491" s="34"/>
      <c r="F1491" s="34"/>
      <c r="G1491" s="34"/>
      <c r="H1491" s="34"/>
      <c r="I1491" s="34"/>
      <c r="J1491" s="3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  <c r="CM1491" s="34"/>
      <c r="CN1491" s="34"/>
      <c r="CO1491" s="34"/>
      <c r="CP1491" s="34"/>
      <c r="CQ1491" s="34"/>
      <c r="CR1491" s="34"/>
      <c r="CS1491" s="34"/>
    </row>
    <row r="1492">
      <c r="A1492" s="34"/>
      <c r="B1492" s="34"/>
      <c r="C1492" s="34"/>
      <c r="D1492" s="34"/>
      <c r="E1492" s="34"/>
      <c r="F1492" s="34"/>
      <c r="G1492" s="34"/>
      <c r="H1492" s="34"/>
      <c r="I1492" s="34"/>
      <c r="J1492" s="3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  <c r="CM1492" s="34"/>
      <c r="CN1492" s="34"/>
      <c r="CO1492" s="34"/>
      <c r="CP1492" s="34"/>
      <c r="CQ1492" s="34"/>
      <c r="CR1492" s="34"/>
      <c r="CS1492" s="34"/>
    </row>
    <row r="1493">
      <c r="A1493" s="34"/>
      <c r="B1493" s="34"/>
      <c r="C1493" s="34"/>
      <c r="D1493" s="34"/>
      <c r="E1493" s="34"/>
      <c r="F1493" s="34"/>
      <c r="G1493" s="34"/>
      <c r="H1493" s="34"/>
      <c r="I1493" s="34"/>
      <c r="J1493" s="3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  <c r="CM1493" s="34"/>
      <c r="CN1493" s="34"/>
      <c r="CO1493" s="34"/>
      <c r="CP1493" s="34"/>
      <c r="CQ1493" s="34"/>
      <c r="CR1493" s="34"/>
      <c r="CS1493" s="34"/>
    </row>
    <row r="1494">
      <c r="A1494" s="34"/>
      <c r="B1494" s="34"/>
      <c r="C1494" s="34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  <c r="CM1494" s="34"/>
      <c r="CN1494" s="34"/>
      <c r="CO1494" s="34"/>
      <c r="CP1494" s="34"/>
      <c r="CQ1494" s="34"/>
      <c r="CR1494" s="34"/>
      <c r="CS1494" s="34"/>
    </row>
    <row r="1495">
      <c r="A1495" s="34"/>
      <c r="B1495" s="34"/>
      <c r="C1495" s="34"/>
      <c r="D1495" s="34"/>
      <c r="E1495" s="34"/>
      <c r="F1495" s="34"/>
      <c r="G1495" s="34"/>
      <c r="H1495" s="34"/>
      <c r="I1495" s="34"/>
      <c r="J1495" s="3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  <c r="CM1495" s="34"/>
      <c r="CN1495" s="34"/>
      <c r="CO1495" s="34"/>
      <c r="CP1495" s="34"/>
      <c r="CQ1495" s="34"/>
      <c r="CR1495" s="34"/>
      <c r="CS1495" s="34"/>
    </row>
    <row r="1496">
      <c r="A1496" s="34"/>
      <c r="B1496" s="34"/>
      <c r="C1496" s="34"/>
      <c r="D1496" s="34"/>
      <c r="E1496" s="34"/>
      <c r="F1496" s="34"/>
      <c r="G1496" s="34"/>
      <c r="H1496" s="34"/>
      <c r="I1496" s="34"/>
      <c r="J1496" s="3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  <c r="CM1496" s="34"/>
      <c r="CN1496" s="34"/>
      <c r="CO1496" s="34"/>
      <c r="CP1496" s="34"/>
      <c r="CQ1496" s="34"/>
      <c r="CR1496" s="34"/>
      <c r="CS1496" s="34"/>
    </row>
    <row r="1497">
      <c r="A1497" s="34"/>
      <c r="B1497" s="34"/>
      <c r="C1497" s="34"/>
      <c r="D1497" s="34"/>
      <c r="E1497" s="34"/>
      <c r="F1497" s="34"/>
      <c r="G1497" s="34"/>
      <c r="H1497" s="34"/>
      <c r="I1497" s="34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  <c r="CM1497" s="34"/>
      <c r="CN1497" s="34"/>
      <c r="CO1497" s="34"/>
      <c r="CP1497" s="34"/>
      <c r="CQ1497" s="34"/>
      <c r="CR1497" s="34"/>
      <c r="CS1497" s="34"/>
    </row>
    <row r="1498">
      <c r="A1498" s="34"/>
      <c r="B1498" s="34"/>
      <c r="C1498" s="34"/>
      <c r="D1498" s="34"/>
      <c r="E1498" s="34"/>
      <c r="F1498" s="34"/>
      <c r="G1498" s="34"/>
      <c r="H1498" s="34"/>
      <c r="I1498" s="34"/>
      <c r="J1498" s="3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  <c r="CM1498" s="34"/>
      <c r="CN1498" s="34"/>
      <c r="CO1498" s="34"/>
      <c r="CP1498" s="34"/>
      <c r="CQ1498" s="34"/>
      <c r="CR1498" s="34"/>
      <c r="CS1498" s="34"/>
    </row>
    <row r="1499">
      <c r="A1499" s="34"/>
      <c r="B1499" s="34"/>
      <c r="C1499" s="34"/>
      <c r="D1499" s="34"/>
      <c r="E1499" s="34"/>
      <c r="F1499" s="34"/>
      <c r="G1499" s="34"/>
      <c r="H1499" s="34"/>
      <c r="I1499" s="34"/>
      <c r="J1499" s="3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  <c r="CM1499" s="34"/>
      <c r="CN1499" s="34"/>
      <c r="CO1499" s="34"/>
      <c r="CP1499" s="34"/>
      <c r="CQ1499" s="34"/>
      <c r="CR1499" s="34"/>
      <c r="CS1499" s="34"/>
    </row>
    <row r="1500">
      <c r="A1500" s="34"/>
      <c r="B1500" s="34"/>
      <c r="C1500" s="34"/>
      <c r="D1500" s="34"/>
      <c r="E1500" s="34"/>
      <c r="F1500" s="34"/>
      <c r="G1500" s="34"/>
      <c r="H1500" s="34"/>
      <c r="I1500" s="34"/>
      <c r="J1500" s="3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  <c r="CM1500" s="34"/>
      <c r="CN1500" s="34"/>
      <c r="CO1500" s="34"/>
      <c r="CP1500" s="34"/>
      <c r="CQ1500" s="34"/>
      <c r="CR1500" s="34"/>
      <c r="CS1500" s="34"/>
    </row>
    <row r="1501">
      <c r="A1501" s="34"/>
      <c r="B1501" s="34"/>
      <c r="C1501" s="34"/>
      <c r="D1501" s="34"/>
      <c r="E1501" s="34"/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  <c r="CM1501" s="34"/>
      <c r="CN1501" s="34"/>
      <c r="CO1501" s="34"/>
      <c r="CP1501" s="34"/>
      <c r="CQ1501" s="34"/>
      <c r="CR1501" s="34"/>
      <c r="CS1501" s="34"/>
    </row>
    <row r="1502">
      <c r="A1502" s="34"/>
      <c r="B1502" s="34"/>
      <c r="C1502" s="34"/>
      <c r="D1502" s="34"/>
      <c r="E1502" s="34"/>
      <c r="F1502" s="34"/>
      <c r="G1502" s="34"/>
      <c r="H1502" s="34"/>
      <c r="I1502" s="34"/>
      <c r="J1502" s="3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  <c r="CM1502" s="34"/>
      <c r="CN1502" s="34"/>
      <c r="CO1502" s="34"/>
      <c r="CP1502" s="34"/>
      <c r="CQ1502" s="34"/>
      <c r="CR1502" s="34"/>
      <c r="CS1502" s="34"/>
    </row>
    <row r="1503">
      <c r="A1503" s="34"/>
      <c r="B1503" s="34"/>
      <c r="C1503" s="34"/>
      <c r="D1503" s="34"/>
      <c r="E1503" s="34"/>
      <c r="F1503" s="34"/>
      <c r="G1503" s="34"/>
      <c r="H1503" s="34"/>
      <c r="I1503" s="34"/>
      <c r="J1503" s="3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  <c r="CM1503" s="34"/>
      <c r="CN1503" s="34"/>
      <c r="CO1503" s="34"/>
      <c r="CP1503" s="34"/>
      <c r="CQ1503" s="34"/>
      <c r="CR1503" s="34"/>
      <c r="CS1503" s="34"/>
    </row>
    <row r="1504">
      <c r="A1504" s="34"/>
      <c r="B1504" s="34"/>
      <c r="C1504" s="34"/>
      <c r="D1504" s="34"/>
      <c r="E1504" s="34"/>
      <c r="F1504" s="34"/>
      <c r="G1504" s="34"/>
      <c r="H1504" s="34"/>
      <c r="I1504" s="34"/>
      <c r="J1504" s="3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  <c r="CM1504" s="34"/>
      <c r="CN1504" s="34"/>
      <c r="CO1504" s="34"/>
      <c r="CP1504" s="34"/>
      <c r="CQ1504" s="34"/>
      <c r="CR1504" s="34"/>
      <c r="CS1504" s="34"/>
    </row>
    <row r="1505">
      <c r="A1505" s="34"/>
      <c r="B1505" s="34"/>
      <c r="C1505" s="34"/>
      <c r="D1505" s="34"/>
      <c r="E1505" s="34"/>
      <c r="F1505" s="34"/>
      <c r="G1505" s="34"/>
      <c r="H1505" s="34"/>
      <c r="I1505" s="34"/>
      <c r="J1505" s="3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  <c r="CM1505" s="34"/>
      <c r="CN1505" s="34"/>
      <c r="CO1505" s="34"/>
      <c r="CP1505" s="34"/>
      <c r="CQ1505" s="34"/>
      <c r="CR1505" s="34"/>
      <c r="CS1505" s="34"/>
    </row>
    <row r="1506">
      <c r="A1506" s="34"/>
      <c r="B1506" s="34"/>
      <c r="C1506" s="34"/>
      <c r="D1506" s="34"/>
      <c r="E1506" s="34"/>
      <c r="F1506" s="34"/>
      <c r="G1506" s="34"/>
      <c r="H1506" s="34"/>
      <c r="I1506" s="34"/>
      <c r="J1506" s="3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  <c r="CM1506" s="34"/>
      <c r="CN1506" s="34"/>
      <c r="CO1506" s="34"/>
      <c r="CP1506" s="34"/>
      <c r="CQ1506" s="34"/>
      <c r="CR1506" s="34"/>
      <c r="CS1506" s="34"/>
    </row>
    <row r="1507">
      <c r="A1507" s="34"/>
      <c r="B1507" s="34"/>
      <c r="C1507" s="34"/>
      <c r="D1507" s="34"/>
      <c r="E1507" s="34"/>
      <c r="F1507" s="34"/>
      <c r="G1507" s="34"/>
      <c r="H1507" s="34"/>
      <c r="I1507" s="34"/>
      <c r="J1507" s="3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  <c r="CM1507" s="34"/>
      <c r="CN1507" s="34"/>
      <c r="CO1507" s="34"/>
      <c r="CP1507" s="34"/>
      <c r="CQ1507" s="34"/>
      <c r="CR1507" s="34"/>
      <c r="CS1507" s="34"/>
    </row>
    <row r="1508">
      <c r="A1508" s="34"/>
      <c r="B1508" s="34"/>
      <c r="C1508" s="34"/>
      <c r="D1508" s="34"/>
      <c r="E1508" s="34"/>
      <c r="F1508" s="34"/>
      <c r="G1508" s="34"/>
      <c r="H1508" s="34"/>
      <c r="I1508" s="34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  <c r="CM1508" s="34"/>
      <c r="CN1508" s="34"/>
      <c r="CO1508" s="34"/>
      <c r="CP1508" s="34"/>
      <c r="CQ1508" s="34"/>
      <c r="CR1508" s="34"/>
      <c r="CS1508" s="34"/>
    </row>
    <row r="1509">
      <c r="A1509" s="34"/>
      <c r="B1509" s="34"/>
      <c r="C1509" s="34"/>
      <c r="D1509" s="34"/>
      <c r="E1509" s="34"/>
      <c r="F1509" s="34"/>
      <c r="G1509" s="34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  <c r="CM1509" s="34"/>
      <c r="CN1509" s="34"/>
      <c r="CO1509" s="34"/>
      <c r="CP1509" s="34"/>
      <c r="CQ1509" s="34"/>
      <c r="CR1509" s="34"/>
      <c r="CS1509" s="34"/>
    </row>
    <row r="1510">
      <c r="A1510" s="34"/>
      <c r="B1510" s="34"/>
      <c r="C1510" s="34"/>
      <c r="D1510" s="34"/>
      <c r="E1510" s="34"/>
      <c r="F1510" s="34"/>
      <c r="G1510" s="34"/>
      <c r="H1510" s="34"/>
      <c r="I1510" s="34"/>
      <c r="J1510" s="3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  <c r="CM1510" s="34"/>
      <c r="CN1510" s="34"/>
      <c r="CO1510" s="34"/>
      <c r="CP1510" s="34"/>
      <c r="CQ1510" s="34"/>
      <c r="CR1510" s="34"/>
      <c r="CS1510" s="34"/>
    </row>
    <row r="1511">
      <c r="A1511" s="34"/>
      <c r="B1511" s="34"/>
      <c r="C1511" s="34"/>
      <c r="D1511" s="34"/>
      <c r="E1511" s="34"/>
      <c r="F1511" s="34"/>
      <c r="G1511" s="34"/>
      <c r="H1511" s="34"/>
      <c r="I1511" s="34"/>
      <c r="J1511" s="3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  <c r="CM1511" s="34"/>
      <c r="CN1511" s="34"/>
      <c r="CO1511" s="34"/>
      <c r="CP1511" s="34"/>
      <c r="CQ1511" s="34"/>
      <c r="CR1511" s="34"/>
      <c r="CS1511" s="34"/>
    </row>
    <row r="1512">
      <c r="A1512" s="34"/>
      <c r="B1512" s="34"/>
      <c r="C1512" s="34"/>
      <c r="D1512" s="34"/>
      <c r="E1512" s="34"/>
      <c r="F1512" s="34"/>
      <c r="G1512" s="34"/>
      <c r="H1512" s="34"/>
      <c r="I1512" s="34"/>
      <c r="J1512" s="3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  <c r="CM1512" s="34"/>
      <c r="CN1512" s="34"/>
      <c r="CO1512" s="34"/>
      <c r="CP1512" s="34"/>
      <c r="CQ1512" s="34"/>
      <c r="CR1512" s="34"/>
      <c r="CS1512" s="34"/>
    </row>
    <row r="1513">
      <c r="A1513" s="34"/>
      <c r="B1513" s="34"/>
      <c r="C1513" s="34"/>
      <c r="D1513" s="34"/>
      <c r="E1513" s="34"/>
      <c r="F1513" s="34"/>
      <c r="G1513" s="34"/>
      <c r="H1513" s="34"/>
      <c r="I1513" s="34"/>
      <c r="J1513" s="3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  <c r="CM1513" s="34"/>
      <c r="CN1513" s="34"/>
      <c r="CO1513" s="34"/>
      <c r="CP1513" s="34"/>
      <c r="CQ1513" s="34"/>
      <c r="CR1513" s="34"/>
      <c r="CS1513" s="34"/>
    </row>
    <row r="1514">
      <c r="A1514" s="34"/>
      <c r="B1514" s="34"/>
      <c r="C1514" s="34"/>
      <c r="D1514" s="34"/>
      <c r="E1514" s="34"/>
      <c r="F1514" s="34"/>
      <c r="G1514" s="34"/>
      <c r="H1514" s="34"/>
      <c r="I1514" s="34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  <c r="CM1514" s="34"/>
      <c r="CN1514" s="34"/>
      <c r="CO1514" s="34"/>
      <c r="CP1514" s="34"/>
      <c r="CQ1514" s="34"/>
      <c r="CR1514" s="34"/>
      <c r="CS1514" s="34"/>
    </row>
    <row r="1515">
      <c r="A1515" s="34"/>
      <c r="B1515" s="34"/>
      <c r="C1515" s="34"/>
      <c r="D1515" s="34"/>
      <c r="E1515" s="34"/>
      <c r="F1515" s="34"/>
      <c r="G1515" s="34"/>
      <c r="H1515" s="34"/>
      <c r="I1515" s="34"/>
      <c r="J1515" s="3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  <c r="CM1515" s="34"/>
      <c r="CN1515" s="34"/>
      <c r="CO1515" s="34"/>
      <c r="CP1515" s="34"/>
      <c r="CQ1515" s="34"/>
      <c r="CR1515" s="34"/>
      <c r="CS1515" s="34"/>
    </row>
    <row r="1516">
      <c r="A1516" s="34"/>
      <c r="B1516" s="34"/>
      <c r="C1516" s="34"/>
      <c r="D1516" s="34"/>
      <c r="E1516" s="34"/>
      <c r="F1516" s="34"/>
      <c r="G1516" s="34"/>
      <c r="H1516" s="34"/>
      <c r="I1516" s="34"/>
      <c r="J1516" s="3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  <c r="CM1516" s="34"/>
      <c r="CN1516" s="34"/>
      <c r="CO1516" s="34"/>
      <c r="CP1516" s="34"/>
      <c r="CQ1516" s="34"/>
      <c r="CR1516" s="34"/>
      <c r="CS1516" s="34"/>
    </row>
    <row r="1517">
      <c r="A1517" s="34"/>
      <c r="B1517" s="34"/>
      <c r="C1517" s="34"/>
      <c r="D1517" s="34"/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  <c r="CM1517" s="34"/>
      <c r="CN1517" s="34"/>
      <c r="CO1517" s="34"/>
      <c r="CP1517" s="34"/>
      <c r="CQ1517" s="34"/>
      <c r="CR1517" s="34"/>
      <c r="CS1517" s="34"/>
    </row>
    <row r="1518">
      <c r="A1518" s="34"/>
      <c r="B1518" s="34"/>
      <c r="C1518" s="34"/>
      <c r="D1518" s="34"/>
      <c r="E1518" s="34"/>
      <c r="F1518" s="34"/>
      <c r="G1518" s="34"/>
      <c r="H1518" s="34"/>
      <c r="I1518" s="34"/>
      <c r="J1518" s="3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  <c r="CM1518" s="34"/>
      <c r="CN1518" s="34"/>
      <c r="CO1518" s="34"/>
      <c r="CP1518" s="34"/>
      <c r="CQ1518" s="34"/>
      <c r="CR1518" s="34"/>
      <c r="CS1518" s="34"/>
    </row>
    <row r="1519">
      <c r="A1519" s="34"/>
      <c r="B1519" s="34"/>
      <c r="C1519" s="34"/>
      <c r="D1519" s="34"/>
      <c r="E1519" s="34"/>
      <c r="F1519" s="34"/>
      <c r="G1519" s="34"/>
      <c r="H1519" s="34"/>
      <c r="I1519" s="34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  <c r="CM1519" s="34"/>
      <c r="CN1519" s="34"/>
      <c r="CO1519" s="34"/>
      <c r="CP1519" s="34"/>
      <c r="CQ1519" s="34"/>
      <c r="CR1519" s="34"/>
      <c r="CS1519" s="34"/>
    </row>
    <row r="1520">
      <c r="A1520" s="34"/>
      <c r="B1520" s="34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  <c r="CM1520" s="34"/>
      <c r="CN1520" s="34"/>
      <c r="CO1520" s="34"/>
      <c r="CP1520" s="34"/>
      <c r="CQ1520" s="34"/>
      <c r="CR1520" s="34"/>
      <c r="CS1520" s="34"/>
    </row>
    <row r="1521">
      <c r="A1521" s="34"/>
      <c r="B1521" s="34"/>
      <c r="C1521" s="34"/>
      <c r="D1521" s="34"/>
      <c r="E1521" s="34"/>
      <c r="F1521" s="34"/>
      <c r="G1521" s="34"/>
      <c r="H1521" s="34"/>
      <c r="I1521" s="34"/>
      <c r="J1521" s="3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  <c r="CM1521" s="34"/>
      <c r="CN1521" s="34"/>
      <c r="CO1521" s="34"/>
      <c r="CP1521" s="34"/>
      <c r="CQ1521" s="34"/>
      <c r="CR1521" s="34"/>
      <c r="CS1521" s="34"/>
    </row>
    <row r="1522">
      <c r="A1522" s="34"/>
      <c r="B1522" s="34"/>
      <c r="C1522" s="34"/>
      <c r="D1522" s="34"/>
      <c r="E1522" s="34"/>
      <c r="F1522" s="34"/>
      <c r="G1522" s="34"/>
      <c r="H1522" s="34"/>
      <c r="I1522" s="34"/>
      <c r="J1522" s="3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  <c r="CM1522" s="34"/>
      <c r="CN1522" s="34"/>
      <c r="CO1522" s="34"/>
      <c r="CP1522" s="34"/>
      <c r="CQ1522" s="34"/>
      <c r="CR1522" s="34"/>
      <c r="CS1522" s="34"/>
    </row>
    <row r="1523">
      <c r="A1523" s="34"/>
      <c r="B1523" s="34"/>
      <c r="C1523" s="34"/>
      <c r="D1523" s="34"/>
      <c r="E1523" s="34"/>
      <c r="F1523" s="34"/>
      <c r="G1523" s="34"/>
      <c r="H1523" s="34"/>
      <c r="I1523" s="34"/>
      <c r="J1523" s="3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  <c r="CM1523" s="34"/>
      <c r="CN1523" s="34"/>
      <c r="CO1523" s="34"/>
      <c r="CP1523" s="34"/>
      <c r="CQ1523" s="34"/>
      <c r="CR1523" s="34"/>
      <c r="CS1523" s="34"/>
    </row>
    <row r="1524">
      <c r="A1524" s="34"/>
      <c r="B1524" s="34"/>
      <c r="C1524" s="34"/>
      <c r="D1524" s="34"/>
      <c r="E1524" s="34"/>
      <c r="F1524" s="34"/>
      <c r="G1524" s="34"/>
      <c r="H1524" s="34"/>
      <c r="I1524" s="34"/>
      <c r="J1524" s="3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  <c r="CM1524" s="34"/>
      <c r="CN1524" s="34"/>
      <c r="CO1524" s="34"/>
      <c r="CP1524" s="34"/>
      <c r="CQ1524" s="34"/>
      <c r="CR1524" s="34"/>
      <c r="CS1524" s="34"/>
    </row>
    <row r="1525">
      <c r="A1525" s="34"/>
      <c r="B1525" s="34"/>
      <c r="C1525" s="34"/>
      <c r="D1525" s="34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  <c r="CM1525" s="34"/>
      <c r="CN1525" s="34"/>
      <c r="CO1525" s="34"/>
      <c r="CP1525" s="34"/>
      <c r="CQ1525" s="34"/>
      <c r="CR1525" s="34"/>
      <c r="CS1525" s="34"/>
    </row>
    <row r="1526">
      <c r="A1526" s="34"/>
      <c r="B1526" s="34"/>
      <c r="C1526" s="34"/>
      <c r="D1526" s="34"/>
      <c r="E1526" s="34"/>
      <c r="F1526" s="34"/>
      <c r="G1526" s="34"/>
      <c r="H1526" s="34"/>
      <c r="I1526" s="34"/>
      <c r="J1526" s="3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  <c r="CM1526" s="34"/>
      <c r="CN1526" s="34"/>
      <c r="CO1526" s="34"/>
      <c r="CP1526" s="34"/>
      <c r="CQ1526" s="34"/>
      <c r="CR1526" s="34"/>
      <c r="CS1526" s="34"/>
    </row>
    <row r="1527">
      <c r="A1527" s="34"/>
      <c r="B1527" s="34"/>
      <c r="C1527" s="34"/>
      <c r="D1527" s="34"/>
      <c r="E1527" s="34"/>
      <c r="F1527" s="34"/>
      <c r="G1527" s="34"/>
      <c r="H1527" s="34"/>
      <c r="I1527" s="34"/>
      <c r="J1527" s="3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  <c r="CM1527" s="34"/>
      <c r="CN1527" s="34"/>
      <c r="CO1527" s="34"/>
      <c r="CP1527" s="34"/>
      <c r="CQ1527" s="34"/>
      <c r="CR1527" s="34"/>
      <c r="CS1527" s="34"/>
    </row>
    <row r="1528">
      <c r="A1528" s="34"/>
      <c r="B1528" s="34"/>
      <c r="C1528" s="34"/>
      <c r="D1528" s="34"/>
      <c r="E1528" s="34"/>
      <c r="F1528" s="34"/>
      <c r="G1528" s="34"/>
      <c r="H1528" s="34"/>
      <c r="I1528" s="34"/>
      <c r="J1528" s="3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  <c r="CM1528" s="34"/>
      <c r="CN1528" s="34"/>
      <c r="CO1528" s="34"/>
      <c r="CP1528" s="34"/>
      <c r="CQ1528" s="34"/>
      <c r="CR1528" s="34"/>
      <c r="CS1528" s="34"/>
    </row>
    <row r="1529">
      <c r="A1529" s="34"/>
      <c r="B1529" s="34"/>
      <c r="C1529" s="34"/>
      <c r="D1529" s="34"/>
      <c r="E1529" s="34"/>
      <c r="F1529" s="34"/>
      <c r="G1529" s="34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  <c r="CM1529" s="34"/>
      <c r="CN1529" s="34"/>
      <c r="CO1529" s="34"/>
      <c r="CP1529" s="34"/>
      <c r="CQ1529" s="34"/>
      <c r="CR1529" s="34"/>
      <c r="CS1529" s="34"/>
    </row>
    <row r="1530">
      <c r="A1530" s="34"/>
      <c r="B1530" s="34"/>
      <c r="C1530" s="34"/>
      <c r="D1530" s="34"/>
      <c r="E1530" s="34"/>
      <c r="F1530" s="34"/>
      <c r="G1530" s="34"/>
      <c r="H1530" s="34"/>
      <c r="I1530" s="34"/>
      <c r="J1530" s="3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  <c r="CM1530" s="34"/>
      <c r="CN1530" s="34"/>
      <c r="CO1530" s="34"/>
      <c r="CP1530" s="34"/>
      <c r="CQ1530" s="34"/>
      <c r="CR1530" s="34"/>
      <c r="CS1530" s="34"/>
    </row>
    <row r="1531">
      <c r="A1531" s="34"/>
      <c r="B1531" s="34"/>
      <c r="C1531" s="34"/>
      <c r="D1531" s="34"/>
      <c r="E1531" s="34"/>
      <c r="F1531" s="34"/>
      <c r="G1531" s="34"/>
      <c r="H1531" s="34"/>
      <c r="I1531" s="34"/>
      <c r="J1531" s="3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  <c r="CM1531" s="34"/>
      <c r="CN1531" s="34"/>
      <c r="CO1531" s="34"/>
      <c r="CP1531" s="34"/>
      <c r="CQ1531" s="34"/>
      <c r="CR1531" s="34"/>
      <c r="CS1531" s="34"/>
    </row>
    <row r="1532">
      <c r="A1532" s="34"/>
      <c r="B1532" s="34"/>
      <c r="C1532" s="34"/>
      <c r="D1532" s="34"/>
      <c r="E1532" s="34"/>
      <c r="F1532" s="34"/>
      <c r="G1532" s="34"/>
      <c r="H1532" s="34"/>
      <c r="I1532" s="34"/>
      <c r="J1532" s="3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  <c r="CM1532" s="34"/>
      <c r="CN1532" s="34"/>
      <c r="CO1532" s="34"/>
      <c r="CP1532" s="34"/>
      <c r="CQ1532" s="34"/>
      <c r="CR1532" s="34"/>
      <c r="CS1532" s="34"/>
    </row>
    <row r="1533">
      <c r="A1533" s="34"/>
      <c r="B1533" s="34"/>
      <c r="C1533" s="34"/>
      <c r="D1533" s="34"/>
      <c r="E1533" s="34"/>
      <c r="F1533" s="34"/>
      <c r="G1533" s="34"/>
      <c r="H1533" s="34"/>
      <c r="I1533" s="34"/>
      <c r="J1533" s="3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  <c r="CM1533" s="34"/>
      <c r="CN1533" s="34"/>
      <c r="CO1533" s="34"/>
      <c r="CP1533" s="34"/>
      <c r="CQ1533" s="34"/>
      <c r="CR1533" s="34"/>
      <c r="CS1533" s="34"/>
    </row>
    <row r="1534">
      <c r="A1534" s="34"/>
      <c r="B1534" s="34"/>
      <c r="C1534" s="34"/>
      <c r="D1534" s="34"/>
      <c r="E1534" s="34"/>
      <c r="F1534" s="34"/>
      <c r="G1534" s="34"/>
      <c r="H1534" s="34"/>
      <c r="I1534" s="34"/>
      <c r="J1534" s="3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  <c r="CM1534" s="34"/>
      <c r="CN1534" s="34"/>
      <c r="CO1534" s="34"/>
      <c r="CP1534" s="34"/>
      <c r="CQ1534" s="34"/>
      <c r="CR1534" s="34"/>
      <c r="CS1534" s="34"/>
    </row>
    <row r="1535">
      <c r="A1535" s="34"/>
      <c r="B1535" s="34"/>
      <c r="C1535" s="34"/>
      <c r="D1535" s="34"/>
      <c r="E1535" s="34"/>
      <c r="F1535" s="34"/>
      <c r="G1535" s="34"/>
      <c r="H1535" s="34"/>
      <c r="I1535" s="34"/>
      <c r="J1535" s="3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  <c r="CM1535" s="34"/>
      <c r="CN1535" s="34"/>
      <c r="CO1535" s="34"/>
      <c r="CP1535" s="34"/>
      <c r="CQ1535" s="34"/>
      <c r="CR1535" s="34"/>
      <c r="CS1535" s="34"/>
    </row>
    <row r="1536">
      <c r="A1536" s="34"/>
      <c r="B1536" s="34"/>
      <c r="C1536" s="34"/>
      <c r="D1536" s="34"/>
      <c r="E1536" s="34"/>
      <c r="F1536" s="34"/>
      <c r="G1536" s="34"/>
      <c r="H1536" s="34"/>
      <c r="I1536" s="34"/>
      <c r="J1536" s="3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  <c r="CM1536" s="34"/>
      <c r="CN1536" s="34"/>
      <c r="CO1536" s="34"/>
      <c r="CP1536" s="34"/>
      <c r="CQ1536" s="34"/>
      <c r="CR1536" s="34"/>
      <c r="CS1536" s="34"/>
    </row>
    <row r="1537">
      <c r="A1537" s="34"/>
      <c r="B1537" s="34"/>
      <c r="C1537" s="34"/>
      <c r="D1537" s="34"/>
      <c r="E1537" s="34"/>
      <c r="F1537" s="34"/>
      <c r="G1537" s="34"/>
      <c r="H1537" s="34"/>
      <c r="I1537" s="34"/>
      <c r="J1537" s="3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  <c r="CM1537" s="34"/>
      <c r="CN1537" s="34"/>
      <c r="CO1537" s="34"/>
      <c r="CP1537" s="34"/>
      <c r="CQ1537" s="34"/>
      <c r="CR1537" s="34"/>
      <c r="CS1537" s="34"/>
    </row>
    <row r="1538">
      <c r="A1538" s="34"/>
      <c r="B1538" s="34"/>
      <c r="C1538" s="34"/>
      <c r="D1538" s="34"/>
      <c r="E1538" s="34"/>
      <c r="F1538" s="34"/>
      <c r="G1538" s="34"/>
      <c r="H1538" s="34"/>
      <c r="I1538" s="34"/>
      <c r="J1538" s="3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  <c r="CM1538" s="34"/>
      <c r="CN1538" s="34"/>
      <c r="CO1538" s="34"/>
      <c r="CP1538" s="34"/>
      <c r="CQ1538" s="34"/>
      <c r="CR1538" s="34"/>
      <c r="CS1538" s="34"/>
    </row>
    <row r="1539">
      <c r="A1539" s="34"/>
      <c r="B1539" s="34"/>
      <c r="C1539" s="34"/>
      <c r="D1539" s="34"/>
      <c r="E1539" s="34"/>
      <c r="F1539" s="34"/>
      <c r="G1539" s="34"/>
      <c r="H1539" s="34"/>
      <c r="I1539" s="34"/>
      <c r="J1539" s="3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  <c r="CM1539" s="34"/>
      <c r="CN1539" s="34"/>
      <c r="CO1539" s="34"/>
      <c r="CP1539" s="34"/>
      <c r="CQ1539" s="34"/>
      <c r="CR1539" s="34"/>
      <c r="CS1539" s="34"/>
    </row>
    <row r="1540">
      <c r="A1540" s="34"/>
      <c r="B1540" s="34"/>
      <c r="C1540" s="34"/>
      <c r="D1540" s="34"/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  <c r="CM1540" s="34"/>
      <c r="CN1540" s="34"/>
      <c r="CO1540" s="34"/>
      <c r="CP1540" s="34"/>
      <c r="CQ1540" s="34"/>
      <c r="CR1540" s="34"/>
      <c r="CS1540" s="34"/>
    </row>
    <row r="1541">
      <c r="A1541" s="34"/>
      <c r="B1541" s="34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  <c r="CM1541" s="34"/>
      <c r="CN1541" s="34"/>
      <c r="CO1541" s="34"/>
      <c r="CP1541" s="34"/>
      <c r="CQ1541" s="34"/>
      <c r="CR1541" s="34"/>
      <c r="CS1541" s="34"/>
    </row>
    <row r="1542">
      <c r="A1542" s="34"/>
      <c r="B1542" s="34"/>
      <c r="C1542" s="34"/>
      <c r="D1542" s="34"/>
      <c r="E1542" s="34"/>
      <c r="F1542" s="34"/>
      <c r="G1542" s="34"/>
      <c r="H1542" s="34"/>
      <c r="I1542" s="34"/>
      <c r="J1542" s="3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  <c r="CM1542" s="34"/>
      <c r="CN1542" s="34"/>
      <c r="CO1542" s="34"/>
      <c r="CP1542" s="34"/>
      <c r="CQ1542" s="34"/>
      <c r="CR1542" s="34"/>
      <c r="CS1542" s="34"/>
    </row>
    <row r="1543">
      <c r="A1543" s="34"/>
      <c r="B1543" s="34"/>
      <c r="C1543" s="34"/>
      <c r="D1543" s="34"/>
      <c r="E1543" s="34"/>
      <c r="F1543" s="34"/>
      <c r="G1543" s="34"/>
      <c r="H1543" s="34"/>
      <c r="I1543" s="34"/>
      <c r="J1543" s="3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  <c r="CM1543" s="34"/>
      <c r="CN1543" s="34"/>
      <c r="CO1543" s="34"/>
      <c r="CP1543" s="34"/>
      <c r="CQ1543" s="34"/>
      <c r="CR1543" s="34"/>
      <c r="CS1543" s="34"/>
    </row>
    <row r="1544">
      <c r="A1544" s="34"/>
      <c r="B1544" s="34"/>
      <c r="C1544" s="34"/>
      <c r="D1544" s="34"/>
      <c r="E1544" s="34"/>
      <c r="F1544" s="34"/>
      <c r="G1544" s="34"/>
      <c r="H1544" s="34"/>
      <c r="I1544" s="34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  <c r="CM1544" s="34"/>
      <c r="CN1544" s="34"/>
      <c r="CO1544" s="34"/>
      <c r="CP1544" s="34"/>
      <c r="CQ1544" s="34"/>
      <c r="CR1544" s="34"/>
      <c r="CS1544" s="34"/>
    </row>
    <row r="1545">
      <c r="A1545" s="34"/>
      <c r="B1545" s="34"/>
      <c r="C1545" s="34"/>
      <c r="D1545" s="34"/>
      <c r="E1545" s="34"/>
      <c r="F1545" s="34"/>
      <c r="G1545" s="34"/>
      <c r="H1545" s="34"/>
      <c r="I1545" s="34"/>
      <c r="J1545" s="3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  <c r="CM1545" s="34"/>
      <c r="CN1545" s="34"/>
      <c r="CO1545" s="34"/>
      <c r="CP1545" s="34"/>
      <c r="CQ1545" s="34"/>
      <c r="CR1545" s="34"/>
      <c r="CS1545" s="34"/>
    </row>
    <row r="1546">
      <c r="A1546" s="34"/>
      <c r="B1546" s="34"/>
      <c r="C1546" s="34"/>
      <c r="D1546" s="34"/>
      <c r="E1546" s="34"/>
      <c r="F1546" s="34"/>
      <c r="G1546" s="34"/>
      <c r="H1546" s="34"/>
      <c r="I1546" s="34"/>
      <c r="J1546" s="3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  <c r="CM1546" s="34"/>
      <c r="CN1546" s="34"/>
      <c r="CO1546" s="34"/>
      <c r="CP1546" s="34"/>
      <c r="CQ1546" s="34"/>
      <c r="CR1546" s="34"/>
      <c r="CS1546" s="34"/>
    </row>
    <row r="1547">
      <c r="A1547" s="34"/>
      <c r="B1547" s="34"/>
      <c r="C1547" s="34"/>
      <c r="D1547" s="34"/>
      <c r="E1547" s="34"/>
      <c r="F1547" s="34"/>
      <c r="G1547" s="34"/>
      <c r="H1547" s="34"/>
      <c r="I1547" s="34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  <c r="CM1547" s="34"/>
      <c r="CN1547" s="34"/>
      <c r="CO1547" s="34"/>
      <c r="CP1547" s="34"/>
      <c r="CQ1547" s="34"/>
      <c r="CR1547" s="34"/>
      <c r="CS1547" s="34"/>
    </row>
    <row r="1548">
      <c r="A1548" s="34"/>
      <c r="B1548" s="34"/>
      <c r="C1548" s="34"/>
      <c r="D1548" s="34"/>
      <c r="E1548" s="34"/>
      <c r="F1548" s="34"/>
      <c r="G1548" s="34"/>
      <c r="H1548" s="34"/>
      <c r="I1548" s="34"/>
      <c r="J1548" s="3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  <c r="CM1548" s="34"/>
      <c r="CN1548" s="34"/>
      <c r="CO1548" s="34"/>
      <c r="CP1548" s="34"/>
      <c r="CQ1548" s="34"/>
      <c r="CR1548" s="34"/>
      <c r="CS1548" s="34"/>
    </row>
    <row r="1549">
      <c r="A1549" s="34"/>
      <c r="B1549" s="34"/>
      <c r="C1549" s="34"/>
      <c r="D1549" s="34"/>
      <c r="E1549" s="34"/>
      <c r="F1549" s="34"/>
      <c r="G1549" s="34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  <c r="CM1549" s="34"/>
      <c r="CN1549" s="34"/>
      <c r="CO1549" s="34"/>
      <c r="CP1549" s="34"/>
      <c r="CQ1549" s="34"/>
      <c r="CR1549" s="34"/>
      <c r="CS1549" s="34"/>
    </row>
    <row r="1550">
      <c r="A1550" s="34"/>
      <c r="B1550" s="34"/>
      <c r="C1550" s="34"/>
      <c r="D1550" s="34"/>
      <c r="E1550" s="34"/>
      <c r="F1550" s="34"/>
      <c r="G1550" s="34"/>
      <c r="H1550" s="34"/>
      <c r="I1550" s="34"/>
      <c r="J1550" s="3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  <c r="CM1550" s="34"/>
      <c r="CN1550" s="34"/>
      <c r="CO1550" s="34"/>
      <c r="CP1550" s="34"/>
      <c r="CQ1550" s="34"/>
      <c r="CR1550" s="34"/>
      <c r="CS1550" s="34"/>
    </row>
    <row r="1551">
      <c r="A1551" s="34"/>
      <c r="B1551" s="34"/>
      <c r="C1551" s="34"/>
      <c r="D1551" s="34"/>
      <c r="E1551" s="34"/>
      <c r="F1551" s="34"/>
      <c r="G1551" s="34"/>
      <c r="H1551" s="34"/>
      <c r="I1551" s="34"/>
      <c r="J1551" s="3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  <c r="CM1551" s="34"/>
      <c r="CN1551" s="34"/>
      <c r="CO1551" s="34"/>
      <c r="CP1551" s="34"/>
      <c r="CQ1551" s="34"/>
      <c r="CR1551" s="34"/>
      <c r="CS1551" s="34"/>
    </row>
    <row r="1552">
      <c r="A1552" s="34"/>
      <c r="B1552" s="34"/>
      <c r="C1552" s="34"/>
      <c r="D1552" s="34"/>
      <c r="E1552" s="34"/>
      <c r="F1552" s="34"/>
      <c r="G1552" s="34"/>
      <c r="H1552" s="34"/>
      <c r="I1552" s="34"/>
      <c r="J1552" s="3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  <c r="CM1552" s="34"/>
      <c r="CN1552" s="34"/>
      <c r="CO1552" s="34"/>
      <c r="CP1552" s="34"/>
      <c r="CQ1552" s="34"/>
      <c r="CR1552" s="34"/>
      <c r="CS1552" s="34"/>
    </row>
    <row r="1553">
      <c r="A1553" s="34"/>
      <c r="B1553" s="34"/>
      <c r="C1553" s="34"/>
      <c r="D1553" s="34"/>
      <c r="E1553" s="34"/>
      <c r="F1553" s="34"/>
      <c r="G1553" s="34"/>
      <c r="H1553" s="34"/>
      <c r="I1553" s="34"/>
      <c r="J1553" s="3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  <c r="CM1553" s="34"/>
      <c r="CN1553" s="34"/>
      <c r="CO1553" s="34"/>
      <c r="CP1553" s="34"/>
      <c r="CQ1553" s="34"/>
      <c r="CR1553" s="34"/>
      <c r="CS1553" s="34"/>
    </row>
    <row r="1554">
      <c r="A1554" s="34"/>
      <c r="B1554" s="34"/>
      <c r="C1554" s="34"/>
      <c r="D1554" s="34"/>
      <c r="E1554" s="34"/>
      <c r="F1554" s="34"/>
      <c r="G1554" s="34"/>
      <c r="H1554" s="34"/>
      <c r="I1554" s="34"/>
      <c r="J1554" s="3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  <c r="CM1554" s="34"/>
      <c r="CN1554" s="34"/>
      <c r="CO1554" s="34"/>
      <c r="CP1554" s="34"/>
      <c r="CQ1554" s="34"/>
      <c r="CR1554" s="34"/>
      <c r="CS1554" s="34"/>
    </row>
    <row r="1555">
      <c r="A1555" s="34"/>
      <c r="B1555" s="34"/>
      <c r="C1555" s="34"/>
      <c r="D1555" s="34"/>
      <c r="E1555" s="34"/>
      <c r="F1555" s="34"/>
      <c r="G1555" s="34"/>
      <c r="H1555" s="34"/>
      <c r="I1555" s="34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  <c r="CM1555" s="34"/>
      <c r="CN1555" s="34"/>
      <c r="CO1555" s="34"/>
      <c r="CP1555" s="34"/>
      <c r="CQ1555" s="34"/>
      <c r="CR1555" s="34"/>
      <c r="CS1555" s="34"/>
    </row>
    <row r="1556">
      <c r="A1556" s="34"/>
      <c r="B1556" s="34"/>
      <c r="C1556" s="34"/>
      <c r="D1556" s="34"/>
      <c r="E1556" s="34"/>
      <c r="F1556" s="34"/>
      <c r="G1556" s="34"/>
      <c r="H1556" s="34"/>
      <c r="I1556" s="34"/>
      <c r="J1556" s="3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  <c r="CM1556" s="34"/>
      <c r="CN1556" s="34"/>
      <c r="CO1556" s="34"/>
      <c r="CP1556" s="34"/>
      <c r="CQ1556" s="34"/>
      <c r="CR1556" s="34"/>
      <c r="CS1556" s="34"/>
    </row>
    <row r="1557">
      <c r="A1557" s="34"/>
      <c r="B1557" s="34"/>
      <c r="C1557" s="34"/>
      <c r="D1557" s="34"/>
      <c r="E1557" s="34"/>
      <c r="F1557" s="34"/>
      <c r="G1557" s="34"/>
      <c r="H1557" s="34"/>
      <c r="I1557" s="34"/>
      <c r="J1557" s="3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  <c r="CM1557" s="34"/>
      <c r="CN1557" s="34"/>
      <c r="CO1557" s="34"/>
      <c r="CP1557" s="34"/>
      <c r="CQ1557" s="34"/>
      <c r="CR1557" s="34"/>
      <c r="CS1557" s="34"/>
    </row>
    <row r="1558">
      <c r="A1558" s="34"/>
      <c r="B1558" s="34"/>
      <c r="C1558" s="34"/>
      <c r="D1558" s="34"/>
      <c r="E1558" s="34"/>
      <c r="F1558" s="34"/>
      <c r="G1558" s="34"/>
      <c r="H1558" s="34"/>
      <c r="I1558" s="34"/>
      <c r="J1558" s="3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  <c r="CM1558" s="34"/>
      <c r="CN1558" s="34"/>
      <c r="CO1558" s="34"/>
      <c r="CP1558" s="34"/>
      <c r="CQ1558" s="34"/>
      <c r="CR1558" s="34"/>
      <c r="CS1558" s="34"/>
    </row>
    <row r="1559">
      <c r="A1559" s="34"/>
      <c r="B1559" s="34"/>
      <c r="C1559" s="34"/>
      <c r="D1559" s="34"/>
      <c r="E1559" s="34"/>
      <c r="F1559" s="34"/>
      <c r="G1559" s="34"/>
      <c r="H1559" s="34"/>
      <c r="I1559" s="34"/>
      <c r="J1559" s="3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  <c r="CM1559" s="34"/>
      <c r="CN1559" s="34"/>
      <c r="CO1559" s="34"/>
      <c r="CP1559" s="34"/>
      <c r="CQ1559" s="34"/>
      <c r="CR1559" s="34"/>
      <c r="CS1559" s="34"/>
    </row>
    <row r="1560">
      <c r="A1560" s="34"/>
      <c r="B1560" s="34"/>
      <c r="C1560" s="34"/>
      <c r="D1560" s="34"/>
      <c r="E1560" s="34"/>
      <c r="F1560" s="34"/>
      <c r="G1560" s="34"/>
      <c r="H1560" s="34"/>
      <c r="I1560" s="34"/>
      <c r="J1560" s="3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  <c r="CM1560" s="34"/>
      <c r="CN1560" s="34"/>
      <c r="CO1560" s="34"/>
      <c r="CP1560" s="34"/>
      <c r="CQ1560" s="34"/>
      <c r="CR1560" s="34"/>
      <c r="CS1560" s="34"/>
    </row>
    <row r="1561">
      <c r="A1561" s="34"/>
      <c r="B1561" s="34"/>
      <c r="C1561" s="34"/>
      <c r="D1561" s="34"/>
      <c r="E1561" s="34"/>
      <c r="F1561" s="34"/>
      <c r="G1561" s="34"/>
      <c r="H1561" s="34"/>
      <c r="I1561" s="34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  <c r="CM1561" s="34"/>
      <c r="CN1561" s="34"/>
      <c r="CO1561" s="34"/>
      <c r="CP1561" s="34"/>
      <c r="CQ1561" s="34"/>
      <c r="CR1561" s="34"/>
      <c r="CS1561" s="34"/>
    </row>
    <row r="1562">
      <c r="A1562" s="34"/>
      <c r="B1562" s="34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  <c r="CM1562" s="34"/>
      <c r="CN1562" s="34"/>
      <c r="CO1562" s="34"/>
      <c r="CP1562" s="34"/>
      <c r="CQ1562" s="34"/>
      <c r="CR1562" s="34"/>
      <c r="CS1562" s="34"/>
    </row>
    <row r="1563">
      <c r="A1563" s="34"/>
      <c r="B1563" s="34"/>
      <c r="C1563" s="34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  <c r="CM1563" s="34"/>
      <c r="CN1563" s="34"/>
      <c r="CO1563" s="34"/>
      <c r="CP1563" s="34"/>
      <c r="CQ1563" s="34"/>
      <c r="CR1563" s="34"/>
      <c r="CS1563" s="34"/>
    </row>
    <row r="1564">
      <c r="A1564" s="34"/>
      <c r="B1564" s="34"/>
      <c r="C1564" s="34"/>
      <c r="D1564" s="34"/>
      <c r="E1564" s="34"/>
      <c r="F1564" s="34"/>
      <c r="G1564" s="34"/>
      <c r="H1564" s="34"/>
      <c r="I1564" s="34"/>
      <c r="J1564" s="3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  <c r="CM1564" s="34"/>
      <c r="CN1564" s="34"/>
      <c r="CO1564" s="34"/>
      <c r="CP1564" s="34"/>
      <c r="CQ1564" s="34"/>
      <c r="CR1564" s="34"/>
      <c r="CS1564" s="34"/>
    </row>
    <row r="1565">
      <c r="A1565" s="34"/>
      <c r="B1565" s="34"/>
      <c r="C1565" s="34"/>
      <c r="D1565" s="34"/>
      <c r="E1565" s="34"/>
      <c r="F1565" s="34"/>
      <c r="G1565" s="34"/>
      <c r="H1565" s="34"/>
      <c r="I1565" s="34"/>
      <c r="J1565" s="3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  <c r="CM1565" s="34"/>
      <c r="CN1565" s="34"/>
      <c r="CO1565" s="34"/>
      <c r="CP1565" s="34"/>
      <c r="CQ1565" s="34"/>
      <c r="CR1565" s="34"/>
      <c r="CS1565" s="34"/>
    </row>
    <row r="1566">
      <c r="A1566" s="34"/>
      <c r="B1566" s="34"/>
      <c r="C1566" s="34"/>
      <c r="D1566" s="34"/>
      <c r="E1566" s="34"/>
      <c r="F1566" s="34"/>
      <c r="G1566" s="34"/>
      <c r="H1566" s="34"/>
      <c r="I1566" s="34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  <c r="CM1566" s="34"/>
      <c r="CN1566" s="34"/>
      <c r="CO1566" s="34"/>
      <c r="CP1566" s="34"/>
      <c r="CQ1566" s="34"/>
      <c r="CR1566" s="34"/>
      <c r="CS1566" s="34"/>
    </row>
    <row r="1567">
      <c r="A1567" s="34"/>
      <c r="B1567" s="34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  <c r="CM1567" s="34"/>
      <c r="CN1567" s="34"/>
      <c r="CO1567" s="34"/>
      <c r="CP1567" s="34"/>
      <c r="CQ1567" s="34"/>
      <c r="CR1567" s="34"/>
      <c r="CS1567" s="34"/>
    </row>
    <row r="1568">
      <c r="A1568" s="34"/>
      <c r="B1568" s="34"/>
      <c r="C1568" s="34"/>
      <c r="D1568" s="34"/>
      <c r="E1568" s="34"/>
      <c r="F1568" s="34"/>
      <c r="G1568" s="34"/>
      <c r="H1568" s="34"/>
      <c r="I1568" s="34"/>
      <c r="J1568" s="3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  <c r="CM1568" s="34"/>
      <c r="CN1568" s="34"/>
      <c r="CO1568" s="34"/>
      <c r="CP1568" s="34"/>
      <c r="CQ1568" s="34"/>
      <c r="CR1568" s="34"/>
      <c r="CS1568" s="34"/>
    </row>
    <row r="1569">
      <c r="A1569" s="34"/>
      <c r="B1569" s="34"/>
      <c r="C1569" s="34"/>
      <c r="D1569" s="34"/>
      <c r="E1569" s="34"/>
      <c r="F1569" s="34"/>
      <c r="G1569" s="34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  <c r="CM1569" s="34"/>
      <c r="CN1569" s="34"/>
      <c r="CO1569" s="34"/>
      <c r="CP1569" s="34"/>
      <c r="CQ1569" s="34"/>
      <c r="CR1569" s="34"/>
      <c r="CS1569" s="34"/>
    </row>
    <row r="1570">
      <c r="A1570" s="34"/>
      <c r="B1570" s="34"/>
      <c r="C1570" s="34"/>
      <c r="D1570" s="34"/>
      <c r="E1570" s="34"/>
      <c r="F1570" s="34"/>
      <c r="G1570" s="34"/>
      <c r="H1570" s="34"/>
      <c r="I1570" s="34"/>
      <c r="J1570" s="3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  <c r="CM1570" s="34"/>
      <c r="CN1570" s="34"/>
      <c r="CO1570" s="34"/>
      <c r="CP1570" s="34"/>
      <c r="CQ1570" s="34"/>
      <c r="CR1570" s="34"/>
      <c r="CS1570" s="34"/>
    </row>
    <row r="1571">
      <c r="A1571" s="34"/>
      <c r="B1571" s="34"/>
      <c r="C1571" s="34"/>
      <c r="D1571" s="34"/>
      <c r="E1571" s="34"/>
      <c r="F1571" s="34"/>
      <c r="G1571" s="34"/>
      <c r="H1571" s="34"/>
      <c r="I1571" s="34"/>
      <c r="J1571" s="3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  <c r="CM1571" s="34"/>
      <c r="CN1571" s="34"/>
      <c r="CO1571" s="34"/>
      <c r="CP1571" s="34"/>
      <c r="CQ1571" s="34"/>
      <c r="CR1571" s="34"/>
      <c r="CS1571" s="34"/>
    </row>
    <row r="1572">
      <c r="A1572" s="34"/>
      <c r="B1572" s="34"/>
      <c r="C1572" s="34"/>
      <c r="D1572" s="34"/>
      <c r="E1572" s="34"/>
      <c r="F1572" s="34"/>
      <c r="G1572" s="34"/>
      <c r="H1572" s="34"/>
      <c r="I1572" s="34"/>
      <c r="J1572" s="3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  <c r="CM1572" s="34"/>
      <c r="CN1572" s="34"/>
      <c r="CO1572" s="34"/>
      <c r="CP1572" s="34"/>
      <c r="CQ1572" s="34"/>
      <c r="CR1572" s="34"/>
      <c r="CS1572" s="34"/>
    </row>
    <row r="1573">
      <c r="A1573" s="34"/>
      <c r="B1573" s="34"/>
      <c r="C1573" s="34"/>
      <c r="D1573" s="34"/>
      <c r="E1573" s="34"/>
      <c r="F1573" s="34"/>
      <c r="G1573" s="34"/>
      <c r="H1573" s="34"/>
      <c r="I1573" s="34"/>
      <c r="J1573" s="3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  <c r="CM1573" s="34"/>
      <c r="CN1573" s="34"/>
      <c r="CO1573" s="34"/>
      <c r="CP1573" s="34"/>
      <c r="CQ1573" s="34"/>
      <c r="CR1573" s="34"/>
      <c r="CS1573" s="34"/>
    </row>
    <row r="1574">
      <c r="A1574" s="34"/>
      <c r="B1574" s="34"/>
      <c r="C1574" s="34"/>
      <c r="D1574" s="34"/>
      <c r="E1574" s="34"/>
      <c r="F1574" s="34"/>
      <c r="G1574" s="34"/>
      <c r="H1574" s="34"/>
      <c r="I1574" s="34"/>
      <c r="J1574" s="3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  <c r="CM1574" s="34"/>
      <c r="CN1574" s="34"/>
      <c r="CO1574" s="34"/>
      <c r="CP1574" s="34"/>
      <c r="CQ1574" s="34"/>
      <c r="CR1574" s="34"/>
      <c r="CS1574" s="34"/>
    </row>
    <row r="1575">
      <c r="A1575" s="34"/>
      <c r="B1575" s="34"/>
      <c r="C1575" s="34"/>
      <c r="D1575" s="34"/>
      <c r="E1575" s="34"/>
      <c r="F1575" s="34"/>
      <c r="G1575" s="34"/>
      <c r="H1575" s="34"/>
      <c r="I1575" s="34"/>
      <c r="J1575" s="3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  <c r="CM1575" s="34"/>
      <c r="CN1575" s="34"/>
      <c r="CO1575" s="34"/>
      <c r="CP1575" s="34"/>
      <c r="CQ1575" s="34"/>
      <c r="CR1575" s="34"/>
      <c r="CS1575" s="34"/>
    </row>
    <row r="1576">
      <c r="A1576" s="34"/>
      <c r="B1576" s="34"/>
      <c r="C1576" s="34"/>
      <c r="D1576" s="34"/>
      <c r="E1576" s="34"/>
      <c r="F1576" s="34"/>
      <c r="G1576" s="34"/>
      <c r="H1576" s="34"/>
      <c r="I1576" s="34"/>
      <c r="J1576" s="3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  <c r="CM1576" s="34"/>
      <c r="CN1576" s="34"/>
      <c r="CO1576" s="34"/>
      <c r="CP1576" s="34"/>
      <c r="CQ1576" s="34"/>
      <c r="CR1576" s="34"/>
      <c r="CS1576" s="34"/>
    </row>
    <row r="1577">
      <c r="A1577" s="34"/>
      <c r="B1577" s="34"/>
      <c r="C1577" s="34"/>
      <c r="D1577" s="34"/>
      <c r="E1577" s="34"/>
      <c r="F1577" s="34"/>
      <c r="G1577" s="34"/>
      <c r="H1577" s="34"/>
      <c r="I1577" s="34"/>
      <c r="J1577" s="3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  <c r="CM1577" s="34"/>
      <c r="CN1577" s="34"/>
      <c r="CO1577" s="34"/>
      <c r="CP1577" s="34"/>
      <c r="CQ1577" s="34"/>
      <c r="CR1577" s="34"/>
      <c r="CS1577" s="34"/>
    </row>
    <row r="1578">
      <c r="A1578" s="34"/>
      <c r="B1578" s="34"/>
      <c r="C1578" s="34"/>
      <c r="D1578" s="34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  <c r="CM1578" s="34"/>
      <c r="CN1578" s="34"/>
      <c r="CO1578" s="34"/>
      <c r="CP1578" s="34"/>
      <c r="CQ1578" s="34"/>
      <c r="CR1578" s="34"/>
      <c r="CS1578" s="34"/>
    </row>
    <row r="1579">
      <c r="A1579" s="34"/>
      <c r="B1579" s="34"/>
      <c r="C1579" s="34"/>
      <c r="D1579" s="34"/>
      <c r="E1579" s="34"/>
      <c r="F1579" s="34"/>
      <c r="G1579" s="34"/>
      <c r="H1579" s="34"/>
      <c r="I1579" s="34"/>
      <c r="J1579" s="3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  <c r="CM1579" s="34"/>
      <c r="CN1579" s="34"/>
      <c r="CO1579" s="34"/>
      <c r="CP1579" s="34"/>
      <c r="CQ1579" s="34"/>
      <c r="CR1579" s="34"/>
      <c r="CS1579" s="34"/>
    </row>
    <row r="1580">
      <c r="A1580" s="34"/>
      <c r="B1580" s="34"/>
      <c r="C1580" s="34"/>
      <c r="D1580" s="34"/>
      <c r="E1580" s="34"/>
      <c r="F1580" s="34"/>
      <c r="G1580" s="34"/>
      <c r="H1580" s="34"/>
      <c r="I1580" s="34"/>
      <c r="J1580" s="3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  <c r="CM1580" s="34"/>
      <c r="CN1580" s="34"/>
      <c r="CO1580" s="34"/>
      <c r="CP1580" s="34"/>
      <c r="CQ1580" s="34"/>
      <c r="CR1580" s="34"/>
      <c r="CS1580" s="34"/>
    </row>
    <row r="1581">
      <c r="A1581" s="34"/>
      <c r="B1581" s="34"/>
      <c r="C1581" s="34"/>
      <c r="D1581" s="34"/>
      <c r="E1581" s="34"/>
      <c r="F1581" s="34"/>
      <c r="G1581" s="34"/>
      <c r="H1581" s="34"/>
      <c r="I1581" s="34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  <c r="CM1581" s="34"/>
      <c r="CN1581" s="34"/>
      <c r="CO1581" s="34"/>
      <c r="CP1581" s="34"/>
      <c r="CQ1581" s="34"/>
      <c r="CR1581" s="34"/>
      <c r="CS1581" s="34"/>
    </row>
    <row r="1582">
      <c r="A1582" s="34"/>
      <c r="B1582" s="34"/>
      <c r="C1582" s="34"/>
      <c r="D1582" s="34"/>
      <c r="E1582" s="34"/>
      <c r="F1582" s="34"/>
      <c r="G1582" s="34"/>
      <c r="H1582" s="34"/>
      <c r="I1582" s="34"/>
      <c r="J1582" s="3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  <c r="CM1582" s="34"/>
      <c r="CN1582" s="34"/>
      <c r="CO1582" s="34"/>
      <c r="CP1582" s="34"/>
      <c r="CQ1582" s="34"/>
      <c r="CR1582" s="34"/>
      <c r="CS1582" s="34"/>
    </row>
    <row r="1583">
      <c r="A1583" s="34"/>
      <c r="B1583" s="34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  <c r="CM1583" s="34"/>
      <c r="CN1583" s="34"/>
      <c r="CO1583" s="34"/>
      <c r="CP1583" s="34"/>
      <c r="CQ1583" s="34"/>
      <c r="CR1583" s="34"/>
      <c r="CS1583" s="34"/>
    </row>
    <row r="1584">
      <c r="A1584" s="34"/>
      <c r="B1584" s="34"/>
      <c r="C1584" s="34"/>
      <c r="D1584" s="34"/>
      <c r="E1584" s="34"/>
      <c r="F1584" s="34"/>
      <c r="G1584" s="34"/>
      <c r="H1584" s="34"/>
      <c r="I1584" s="34"/>
      <c r="J1584" s="3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  <c r="CM1584" s="34"/>
      <c r="CN1584" s="34"/>
      <c r="CO1584" s="34"/>
      <c r="CP1584" s="34"/>
      <c r="CQ1584" s="34"/>
      <c r="CR1584" s="34"/>
      <c r="CS1584" s="34"/>
    </row>
    <row r="1585">
      <c r="A1585" s="34"/>
      <c r="B1585" s="34"/>
      <c r="C1585" s="34"/>
      <c r="D1585" s="34"/>
      <c r="E1585" s="34"/>
      <c r="F1585" s="34"/>
      <c r="G1585" s="34"/>
      <c r="H1585" s="34"/>
      <c r="I1585" s="34"/>
      <c r="J1585" s="3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  <c r="CM1585" s="34"/>
      <c r="CN1585" s="34"/>
      <c r="CO1585" s="34"/>
      <c r="CP1585" s="34"/>
      <c r="CQ1585" s="34"/>
      <c r="CR1585" s="34"/>
      <c r="CS1585" s="34"/>
    </row>
    <row r="1586">
      <c r="A1586" s="34"/>
      <c r="B1586" s="34"/>
      <c r="C1586" s="34"/>
      <c r="D1586" s="34"/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  <c r="CM1586" s="34"/>
      <c r="CN1586" s="34"/>
      <c r="CO1586" s="34"/>
      <c r="CP1586" s="34"/>
      <c r="CQ1586" s="34"/>
      <c r="CR1586" s="34"/>
      <c r="CS1586" s="34"/>
    </row>
    <row r="1587">
      <c r="A1587" s="34"/>
      <c r="B1587" s="34"/>
      <c r="C1587" s="34"/>
      <c r="D1587" s="34"/>
      <c r="E1587" s="34"/>
      <c r="F1587" s="34"/>
      <c r="G1587" s="34"/>
      <c r="H1587" s="34"/>
      <c r="I1587" s="34"/>
      <c r="J1587" s="3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  <c r="CM1587" s="34"/>
      <c r="CN1587" s="34"/>
      <c r="CO1587" s="34"/>
      <c r="CP1587" s="34"/>
      <c r="CQ1587" s="34"/>
      <c r="CR1587" s="34"/>
      <c r="CS1587" s="34"/>
    </row>
    <row r="1588">
      <c r="A1588" s="34"/>
      <c r="B1588" s="34"/>
      <c r="C1588" s="34"/>
      <c r="D1588" s="34"/>
      <c r="E1588" s="34"/>
      <c r="F1588" s="34"/>
      <c r="G1588" s="34"/>
      <c r="H1588" s="34"/>
      <c r="I1588" s="34"/>
      <c r="J1588" s="3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  <c r="CM1588" s="34"/>
      <c r="CN1588" s="34"/>
      <c r="CO1588" s="34"/>
      <c r="CP1588" s="34"/>
      <c r="CQ1588" s="34"/>
      <c r="CR1588" s="34"/>
      <c r="CS1588" s="34"/>
    </row>
    <row r="1589">
      <c r="A1589" s="34"/>
      <c r="B1589" s="34"/>
      <c r="C1589" s="34"/>
      <c r="D1589" s="34"/>
      <c r="E1589" s="34"/>
      <c r="F1589" s="34"/>
      <c r="G1589" s="34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  <c r="CM1589" s="34"/>
      <c r="CN1589" s="34"/>
      <c r="CO1589" s="34"/>
      <c r="CP1589" s="34"/>
      <c r="CQ1589" s="34"/>
      <c r="CR1589" s="34"/>
      <c r="CS1589" s="34"/>
    </row>
    <row r="1590">
      <c r="A1590" s="34"/>
      <c r="B1590" s="34"/>
      <c r="C1590" s="34"/>
      <c r="D1590" s="34"/>
      <c r="E1590" s="34"/>
      <c r="F1590" s="34"/>
      <c r="G1590" s="34"/>
      <c r="H1590" s="34"/>
      <c r="I1590" s="34"/>
      <c r="J1590" s="3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  <c r="CM1590" s="34"/>
      <c r="CN1590" s="34"/>
      <c r="CO1590" s="34"/>
      <c r="CP1590" s="34"/>
      <c r="CQ1590" s="34"/>
      <c r="CR1590" s="34"/>
      <c r="CS1590" s="34"/>
    </row>
    <row r="1591">
      <c r="A1591" s="34"/>
      <c r="B1591" s="34"/>
      <c r="C1591" s="34"/>
      <c r="D1591" s="34"/>
      <c r="E1591" s="34"/>
      <c r="F1591" s="34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  <c r="CM1591" s="34"/>
      <c r="CN1591" s="34"/>
      <c r="CO1591" s="34"/>
      <c r="CP1591" s="34"/>
      <c r="CQ1591" s="34"/>
      <c r="CR1591" s="34"/>
      <c r="CS1591" s="34"/>
    </row>
    <row r="1592">
      <c r="A1592" s="34"/>
      <c r="B1592" s="34"/>
      <c r="C1592" s="34"/>
      <c r="D1592" s="34"/>
      <c r="E1592" s="34"/>
      <c r="F1592" s="34"/>
      <c r="G1592" s="34"/>
      <c r="H1592" s="34"/>
      <c r="I1592" s="34"/>
      <c r="J1592" s="3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  <c r="CM1592" s="34"/>
      <c r="CN1592" s="34"/>
      <c r="CO1592" s="34"/>
      <c r="CP1592" s="34"/>
      <c r="CQ1592" s="34"/>
      <c r="CR1592" s="34"/>
      <c r="CS1592" s="34"/>
    </row>
    <row r="1593">
      <c r="A1593" s="34"/>
      <c r="B1593" s="34"/>
      <c r="C1593" s="34"/>
      <c r="D1593" s="34"/>
      <c r="E1593" s="34"/>
      <c r="F1593" s="34"/>
      <c r="G1593" s="34"/>
      <c r="H1593" s="34"/>
      <c r="I1593" s="34"/>
      <c r="J1593" s="3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  <c r="CM1593" s="34"/>
      <c r="CN1593" s="34"/>
      <c r="CO1593" s="34"/>
      <c r="CP1593" s="34"/>
      <c r="CQ1593" s="34"/>
      <c r="CR1593" s="34"/>
      <c r="CS1593" s="34"/>
    </row>
    <row r="1594">
      <c r="A1594" s="34"/>
      <c r="B1594" s="34"/>
      <c r="C1594" s="34"/>
      <c r="D1594" s="34"/>
      <c r="E1594" s="34"/>
      <c r="F1594" s="34"/>
      <c r="G1594" s="34"/>
      <c r="H1594" s="34"/>
      <c r="I1594" s="34"/>
      <c r="J1594" s="3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  <c r="CM1594" s="34"/>
      <c r="CN1594" s="34"/>
      <c r="CO1594" s="34"/>
      <c r="CP1594" s="34"/>
      <c r="CQ1594" s="34"/>
      <c r="CR1594" s="34"/>
      <c r="CS1594" s="34"/>
    </row>
    <row r="1595">
      <c r="A1595" s="34"/>
      <c r="B1595" s="34"/>
      <c r="C1595" s="34"/>
      <c r="D1595" s="34"/>
      <c r="E1595" s="34"/>
      <c r="F1595" s="34"/>
      <c r="G1595" s="34"/>
      <c r="H1595" s="34"/>
      <c r="I1595" s="34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  <c r="CM1595" s="34"/>
      <c r="CN1595" s="34"/>
      <c r="CO1595" s="34"/>
      <c r="CP1595" s="34"/>
      <c r="CQ1595" s="34"/>
      <c r="CR1595" s="34"/>
      <c r="CS1595" s="34"/>
    </row>
    <row r="1596">
      <c r="A1596" s="34"/>
      <c r="B1596" s="34"/>
      <c r="C1596" s="34"/>
      <c r="D1596" s="34"/>
      <c r="E1596" s="34"/>
      <c r="F1596" s="34"/>
      <c r="G1596" s="34"/>
      <c r="H1596" s="34"/>
      <c r="I1596" s="34"/>
      <c r="J1596" s="3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  <c r="CM1596" s="34"/>
      <c r="CN1596" s="34"/>
      <c r="CO1596" s="34"/>
      <c r="CP1596" s="34"/>
      <c r="CQ1596" s="34"/>
      <c r="CR1596" s="34"/>
      <c r="CS1596" s="34"/>
    </row>
    <row r="1597">
      <c r="A1597" s="34"/>
      <c r="B1597" s="34"/>
      <c r="C1597" s="34"/>
      <c r="D1597" s="34"/>
      <c r="E1597" s="34"/>
      <c r="F1597" s="34"/>
      <c r="G1597" s="34"/>
      <c r="H1597" s="34"/>
      <c r="I1597" s="34"/>
      <c r="J1597" s="3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  <c r="CM1597" s="34"/>
      <c r="CN1597" s="34"/>
      <c r="CO1597" s="34"/>
      <c r="CP1597" s="34"/>
      <c r="CQ1597" s="34"/>
      <c r="CR1597" s="34"/>
      <c r="CS1597" s="34"/>
    </row>
    <row r="1598">
      <c r="A1598" s="34"/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  <c r="CM1598" s="34"/>
      <c r="CN1598" s="34"/>
      <c r="CO1598" s="34"/>
      <c r="CP1598" s="34"/>
      <c r="CQ1598" s="34"/>
      <c r="CR1598" s="34"/>
      <c r="CS1598" s="34"/>
    </row>
    <row r="1599">
      <c r="A1599" s="34"/>
      <c r="B1599" s="34"/>
      <c r="C1599" s="34"/>
      <c r="D1599" s="34"/>
      <c r="E1599" s="34"/>
      <c r="F1599" s="34"/>
      <c r="G1599" s="34"/>
      <c r="H1599" s="34"/>
      <c r="I1599" s="34"/>
      <c r="J1599" s="3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  <c r="CM1599" s="34"/>
      <c r="CN1599" s="34"/>
      <c r="CO1599" s="34"/>
      <c r="CP1599" s="34"/>
      <c r="CQ1599" s="34"/>
      <c r="CR1599" s="34"/>
      <c r="CS1599" s="34"/>
    </row>
    <row r="1600">
      <c r="A1600" s="34"/>
      <c r="B1600" s="34"/>
      <c r="C1600" s="34"/>
      <c r="D1600" s="34"/>
      <c r="E1600" s="34"/>
      <c r="F1600" s="34"/>
      <c r="G1600" s="34"/>
      <c r="H1600" s="34"/>
      <c r="I1600" s="34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  <c r="CM1600" s="34"/>
      <c r="CN1600" s="34"/>
      <c r="CO1600" s="34"/>
      <c r="CP1600" s="34"/>
      <c r="CQ1600" s="34"/>
      <c r="CR1600" s="34"/>
      <c r="CS1600" s="34"/>
    </row>
    <row r="1601">
      <c r="A1601" s="34"/>
      <c r="B1601" s="34"/>
      <c r="C1601" s="34"/>
      <c r="D1601" s="34"/>
      <c r="E1601" s="34"/>
      <c r="F1601" s="34"/>
      <c r="G1601" s="34"/>
      <c r="H1601" s="34"/>
      <c r="I1601" s="34"/>
      <c r="J1601" s="3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  <c r="CM1601" s="34"/>
      <c r="CN1601" s="34"/>
      <c r="CO1601" s="34"/>
      <c r="CP1601" s="34"/>
      <c r="CQ1601" s="34"/>
      <c r="CR1601" s="34"/>
      <c r="CS1601" s="34"/>
    </row>
    <row r="1602">
      <c r="A1602" s="34"/>
      <c r="B1602" s="34"/>
      <c r="C1602" s="34"/>
      <c r="D1602" s="34"/>
      <c r="E1602" s="34"/>
      <c r="F1602" s="34"/>
      <c r="G1602" s="34"/>
      <c r="H1602" s="34"/>
      <c r="I1602" s="34"/>
      <c r="J1602" s="3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  <c r="CM1602" s="34"/>
      <c r="CN1602" s="34"/>
      <c r="CO1602" s="34"/>
      <c r="CP1602" s="34"/>
      <c r="CQ1602" s="34"/>
      <c r="CR1602" s="34"/>
      <c r="CS1602" s="34"/>
    </row>
    <row r="1603">
      <c r="A1603" s="34"/>
      <c r="B1603" s="34"/>
      <c r="C1603" s="34"/>
      <c r="D1603" s="34"/>
      <c r="E1603" s="34"/>
      <c r="F1603" s="34"/>
      <c r="G1603" s="34"/>
      <c r="H1603" s="34"/>
      <c r="I1603" s="34"/>
      <c r="J1603" s="3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  <c r="CM1603" s="34"/>
      <c r="CN1603" s="34"/>
      <c r="CO1603" s="34"/>
      <c r="CP1603" s="34"/>
      <c r="CQ1603" s="34"/>
      <c r="CR1603" s="34"/>
      <c r="CS1603" s="34"/>
    </row>
    <row r="1604">
      <c r="A1604" s="34"/>
      <c r="B1604" s="34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  <c r="CM1604" s="34"/>
      <c r="CN1604" s="34"/>
      <c r="CO1604" s="34"/>
      <c r="CP1604" s="34"/>
      <c r="CQ1604" s="34"/>
      <c r="CR1604" s="34"/>
      <c r="CS1604" s="34"/>
    </row>
    <row r="1605">
      <c r="A1605" s="34"/>
      <c r="B1605" s="34"/>
      <c r="C1605" s="34"/>
      <c r="D1605" s="34"/>
      <c r="E1605" s="34"/>
      <c r="F1605" s="34"/>
      <c r="G1605" s="34"/>
      <c r="H1605" s="34"/>
      <c r="I1605" s="34"/>
      <c r="J1605" s="3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  <c r="CM1605" s="34"/>
      <c r="CN1605" s="34"/>
      <c r="CO1605" s="34"/>
      <c r="CP1605" s="34"/>
      <c r="CQ1605" s="34"/>
      <c r="CR1605" s="34"/>
      <c r="CS1605" s="34"/>
    </row>
    <row r="1606">
      <c r="A1606" s="34"/>
      <c r="B1606" s="34"/>
      <c r="C1606" s="34"/>
      <c r="D1606" s="34"/>
      <c r="E1606" s="34"/>
      <c r="F1606" s="34"/>
      <c r="G1606" s="34"/>
      <c r="H1606" s="34"/>
      <c r="I1606" s="34"/>
      <c r="J1606" s="3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  <c r="CM1606" s="34"/>
      <c r="CN1606" s="34"/>
      <c r="CO1606" s="34"/>
      <c r="CP1606" s="34"/>
      <c r="CQ1606" s="34"/>
      <c r="CR1606" s="34"/>
      <c r="CS1606" s="34"/>
    </row>
    <row r="1607">
      <c r="A1607" s="34"/>
      <c r="B1607" s="34"/>
      <c r="C1607" s="34"/>
      <c r="D1607" s="34"/>
      <c r="E1607" s="34"/>
      <c r="F1607" s="34"/>
      <c r="G1607" s="34"/>
      <c r="H1607" s="34"/>
      <c r="I1607" s="34"/>
      <c r="J1607" s="3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  <c r="CM1607" s="34"/>
      <c r="CN1607" s="34"/>
      <c r="CO1607" s="34"/>
      <c r="CP1607" s="34"/>
      <c r="CQ1607" s="34"/>
      <c r="CR1607" s="34"/>
      <c r="CS1607" s="34"/>
    </row>
    <row r="1608">
      <c r="A1608" s="34"/>
      <c r="B1608" s="34"/>
      <c r="C1608" s="34"/>
      <c r="D1608" s="34"/>
      <c r="E1608" s="34"/>
      <c r="F1608" s="34"/>
      <c r="G1608" s="34"/>
      <c r="H1608" s="34"/>
      <c r="I1608" s="34"/>
      <c r="J1608" s="3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  <c r="CM1608" s="34"/>
      <c r="CN1608" s="34"/>
      <c r="CO1608" s="34"/>
      <c r="CP1608" s="34"/>
      <c r="CQ1608" s="34"/>
      <c r="CR1608" s="34"/>
      <c r="CS1608" s="34"/>
    </row>
    <row r="1609">
      <c r="A1609" s="34"/>
      <c r="B1609" s="34"/>
      <c r="C1609" s="34"/>
      <c r="D1609" s="34"/>
      <c r="E1609" s="34"/>
      <c r="F1609" s="34"/>
      <c r="G1609" s="34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  <c r="CM1609" s="34"/>
      <c r="CN1609" s="34"/>
      <c r="CO1609" s="34"/>
      <c r="CP1609" s="34"/>
      <c r="CQ1609" s="34"/>
      <c r="CR1609" s="34"/>
      <c r="CS1609" s="34"/>
    </row>
    <row r="1610">
      <c r="A1610" s="34"/>
      <c r="B1610" s="34"/>
      <c r="C1610" s="34"/>
      <c r="D1610" s="34"/>
      <c r="E1610" s="34"/>
      <c r="F1610" s="34"/>
      <c r="G1610" s="34"/>
      <c r="H1610" s="34"/>
      <c r="I1610" s="34"/>
      <c r="J1610" s="3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  <c r="CM1610" s="34"/>
      <c r="CN1610" s="34"/>
      <c r="CO1610" s="34"/>
      <c r="CP1610" s="34"/>
      <c r="CQ1610" s="34"/>
      <c r="CR1610" s="34"/>
      <c r="CS1610" s="34"/>
    </row>
    <row r="1611">
      <c r="A1611" s="34"/>
      <c r="B1611" s="34"/>
      <c r="C1611" s="34"/>
      <c r="D1611" s="34"/>
      <c r="E1611" s="34"/>
      <c r="F1611" s="34"/>
      <c r="G1611" s="34"/>
      <c r="H1611" s="34"/>
      <c r="I1611" s="34"/>
      <c r="J1611" s="3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  <c r="CM1611" s="34"/>
      <c r="CN1611" s="34"/>
      <c r="CO1611" s="34"/>
      <c r="CP1611" s="34"/>
      <c r="CQ1611" s="34"/>
      <c r="CR1611" s="34"/>
      <c r="CS1611" s="34"/>
    </row>
    <row r="1612">
      <c r="A1612" s="34"/>
      <c r="B1612" s="34"/>
      <c r="C1612" s="34"/>
      <c r="D1612" s="34"/>
      <c r="E1612" s="34"/>
      <c r="F1612" s="34"/>
      <c r="G1612" s="34"/>
      <c r="H1612" s="34"/>
      <c r="I1612" s="34"/>
      <c r="J1612" s="3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  <c r="CM1612" s="34"/>
      <c r="CN1612" s="34"/>
      <c r="CO1612" s="34"/>
      <c r="CP1612" s="34"/>
      <c r="CQ1612" s="34"/>
      <c r="CR1612" s="34"/>
      <c r="CS1612" s="34"/>
    </row>
    <row r="1613">
      <c r="A1613" s="34"/>
      <c r="B1613" s="34"/>
      <c r="C1613" s="34"/>
      <c r="D1613" s="34"/>
      <c r="E1613" s="34"/>
      <c r="F1613" s="34"/>
      <c r="G1613" s="34"/>
      <c r="H1613" s="34"/>
      <c r="I1613" s="34"/>
      <c r="J1613" s="3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  <c r="CM1613" s="34"/>
      <c r="CN1613" s="34"/>
      <c r="CO1613" s="34"/>
      <c r="CP1613" s="34"/>
      <c r="CQ1613" s="34"/>
      <c r="CR1613" s="34"/>
      <c r="CS1613" s="34"/>
    </row>
    <row r="1614">
      <c r="A1614" s="34"/>
      <c r="B1614" s="34"/>
      <c r="C1614" s="34"/>
      <c r="D1614" s="34"/>
      <c r="E1614" s="34"/>
      <c r="F1614" s="34"/>
      <c r="G1614" s="34"/>
      <c r="H1614" s="34"/>
      <c r="I1614" s="34"/>
      <c r="J1614" s="3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  <c r="CM1614" s="34"/>
      <c r="CN1614" s="34"/>
      <c r="CO1614" s="34"/>
      <c r="CP1614" s="34"/>
      <c r="CQ1614" s="34"/>
      <c r="CR1614" s="34"/>
      <c r="CS1614" s="34"/>
    </row>
    <row r="1615">
      <c r="A1615" s="34"/>
      <c r="B1615" s="34"/>
      <c r="C1615" s="34"/>
      <c r="D1615" s="34"/>
      <c r="E1615" s="34"/>
      <c r="F1615" s="34"/>
      <c r="G1615" s="34"/>
      <c r="H1615" s="34"/>
      <c r="I1615" s="34"/>
      <c r="J1615" s="3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  <c r="CM1615" s="34"/>
      <c r="CN1615" s="34"/>
      <c r="CO1615" s="34"/>
      <c r="CP1615" s="34"/>
      <c r="CQ1615" s="34"/>
      <c r="CR1615" s="34"/>
      <c r="CS1615" s="34"/>
    </row>
    <row r="1616">
      <c r="A1616" s="34"/>
      <c r="B1616" s="34"/>
      <c r="C1616" s="34"/>
      <c r="D1616" s="34"/>
      <c r="E1616" s="34"/>
      <c r="F1616" s="34"/>
      <c r="G1616" s="34"/>
      <c r="H1616" s="34"/>
      <c r="I1616" s="34"/>
      <c r="J1616" s="3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  <c r="CM1616" s="34"/>
      <c r="CN1616" s="34"/>
      <c r="CO1616" s="34"/>
      <c r="CP1616" s="34"/>
      <c r="CQ1616" s="34"/>
      <c r="CR1616" s="34"/>
      <c r="CS1616" s="34"/>
    </row>
    <row r="1617">
      <c r="A1617" s="34"/>
      <c r="B1617" s="34"/>
      <c r="C1617" s="34"/>
      <c r="D1617" s="34"/>
      <c r="E1617" s="34"/>
      <c r="F1617" s="34"/>
      <c r="G1617" s="34"/>
      <c r="H1617" s="34"/>
      <c r="I1617" s="34"/>
      <c r="J1617" s="3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  <c r="CM1617" s="34"/>
      <c r="CN1617" s="34"/>
      <c r="CO1617" s="34"/>
      <c r="CP1617" s="34"/>
      <c r="CQ1617" s="34"/>
      <c r="CR1617" s="34"/>
      <c r="CS1617" s="34"/>
    </row>
    <row r="1618">
      <c r="A1618" s="34"/>
      <c r="B1618" s="34"/>
      <c r="C1618" s="34"/>
      <c r="D1618" s="34"/>
      <c r="E1618" s="34"/>
      <c r="F1618" s="34"/>
      <c r="G1618" s="34"/>
      <c r="H1618" s="34"/>
      <c r="I1618" s="34"/>
      <c r="J1618" s="3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  <c r="CM1618" s="34"/>
      <c r="CN1618" s="34"/>
      <c r="CO1618" s="34"/>
      <c r="CP1618" s="34"/>
      <c r="CQ1618" s="34"/>
      <c r="CR1618" s="34"/>
      <c r="CS1618" s="34"/>
    </row>
    <row r="1619">
      <c r="A1619" s="34"/>
      <c r="B1619" s="34"/>
      <c r="C1619" s="34"/>
      <c r="D1619" s="34"/>
      <c r="E1619" s="34"/>
      <c r="F1619" s="34"/>
      <c r="G1619" s="34"/>
      <c r="H1619" s="34"/>
      <c r="I1619" s="34"/>
      <c r="J1619" s="3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  <c r="CM1619" s="34"/>
      <c r="CN1619" s="34"/>
      <c r="CO1619" s="34"/>
      <c r="CP1619" s="34"/>
      <c r="CQ1619" s="34"/>
      <c r="CR1619" s="34"/>
      <c r="CS1619" s="34"/>
    </row>
    <row r="1620">
      <c r="A1620" s="34"/>
      <c r="B1620" s="34"/>
      <c r="C1620" s="34"/>
      <c r="D1620" s="34"/>
      <c r="E1620" s="34"/>
      <c r="F1620" s="34"/>
      <c r="G1620" s="34"/>
      <c r="H1620" s="34"/>
      <c r="I1620" s="34"/>
      <c r="J1620" s="3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  <c r="CM1620" s="34"/>
      <c r="CN1620" s="34"/>
      <c r="CO1620" s="34"/>
      <c r="CP1620" s="34"/>
      <c r="CQ1620" s="34"/>
      <c r="CR1620" s="34"/>
      <c r="CS1620" s="34"/>
    </row>
    <row r="1621">
      <c r="A1621" s="34"/>
      <c r="B1621" s="34"/>
      <c r="C1621" s="34"/>
      <c r="D1621" s="34"/>
      <c r="E1621" s="34"/>
      <c r="F1621" s="34"/>
      <c r="G1621" s="34"/>
      <c r="H1621" s="34"/>
      <c r="I1621" s="34"/>
      <c r="J1621" s="3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  <c r="CM1621" s="34"/>
      <c r="CN1621" s="34"/>
      <c r="CO1621" s="34"/>
      <c r="CP1621" s="34"/>
      <c r="CQ1621" s="34"/>
      <c r="CR1621" s="34"/>
      <c r="CS1621" s="34"/>
    </row>
    <row r="1622">
      <c r="A1622" s="34"/>
      <c r="B1622" s="34"/>
      <c r="C1622" s="34"/>
      <c r="D1622" s="34"/>
      <c r="E1622" s="34"/>
      <c r="F1622" s="34"/>
      <c r="G1622" s="34"/>
      <c r="H1622" s="34"/>
      <c r="I1622" s="34"/>
      <c r="J1622" s="3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  <c r="CM1622" s="34"/>
      <c r="CN1622" s="34"/>
      <c r="CO1622" s="34"/>
      <c r="CP1622" s="34"/>
      <c r="CQ1622" s="34"/>
      <c r="CR1622" s="34"/>
      <c r="CS1622" s="34"/>
    </row>
    <row r="1623">
      <c r="A1623" s="34"/>
      <c r="B1623" s="34"/>
      <c r="C1623" s="34"/>
      <c r="D1623" s="34"/>
      <c r="E1623" s="34"/>
      <c r="F1623" s="34"/>
      <c r="G1623" s="34"/>
      <c r="H1623" s="34"/>
      <c r="I1623" s="34"/>
      <c r="J1623" s="3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  <c r="CM1623" s="34"/>
      <c r="CN1623" s="34"/>
      <c r="CO1623" s="34"/>
      <c r="CP1623" s="34"/>
      <c r="CQ1623" s="34"/>
      <c r="CR1623" s="34"/>
      <c r="CS1623" s="34"/>
    </row>
    <row r="1624">
      <c r="A1624" s="34"/>
      <c r="B1624" s="34"/>
      <c r="C1624" s="34"/>
      <c r="D1624" s="34"/>
      <c r="E1624" s="34"/>
      <c r="F1624" s="34"/>
      <c r="G1624" s="34"/>
      <c r="H1624" s="34"/>
      <c r="I1624" s="34"/>
      <c r="J1624" s="3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  <c r="CM1624" s="34"/>
      <c r="CN1624" s="34"/>
      <c r="CO1624" s="34"/>
      <c r="CP1624" s="34"/>
      <c r="CQ1624" s="34"/>
      <c r="CR1624" s="34"/>
      <c r="CS1624" s="34"/>
    </row>
    <row r="1625">
      <c r="A1625" s="34"/>
      <c r="B1625" s="34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  <c r="CM1625" s="34"/>
      <c r="CN1625" s="34"/>
      <c r="CO1625" s="34"/>
      <c r="CP1625" s="34"/>
      <c r="CQ1625" s="34"/>
      <c r="CR1625" s="34"/>
      <c r="CS1625" s="34"/>
    </row>
    <row r="1626">
      <c r="A1626" s="34"/>
      <c r="B1626" s="34"/>
      <c r="C1626" s="34"/>
      <c r="D1626" s="34"/>
      <c r="E1626" s="34"/>
      <c r="F1626" s="34"/>
      <c r="G1626" s="34"/>
      <c r="H1626" s="34"/>
      <c r="I1626" s="34"/>
      <c r="J1626" s="3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  <c r="CM1626" s="34"/>
      <c r="CN1626" s="34"/>
      <c r="CO1626" s="34"/>
      <c r="CP1626" s="34"/>
      <c r="CQ1626" s="34"/>
      <c r="CR1626" s="34"/>
      <c r="CS1626" s="34"/>
    </row>
    <row r="1627">
      <c r="A1627" s="34"/>
      <c r="B1627" s="34"/>
      <c r="C1627" s="34"/>
      <c r="D1627" s="34"/>
      <c r="E1627" s="34"/>
      <c r="F1627" s="34"/>
      <c r="G1627" s="34"/>
      <c r="H1627" s="34"/>
      <c r="I1627" s="34"/>
      <c r="J1627" s="3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  <c r="CM1627" s="34"/>
      <c r="CN1627" s="34"/>
      <c r="CO1627" s="34"/>
      <c r="CP1627" s="34"/>
      <c r="CQ1627" s="34"/>
      <c r="CR1627" s="34"/>
      <c r="CS1627" s="34"/>
    </row>
    <row r="1628">
      <c r="A1628" s="34"/>
      <c r="B1628" s="34"/>
      <c r="C1628" s="34"/>
      <c r="D1628" s="34"/>
      <c r="E1628" s="34"/>
      <c r="F1628" s="34"/>
      <c r="G1628" s="34"/>
      <c r="H1628" s="34"/>
      <c r="I1628" s="34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  <c r="CM1628" s="34"/>
      <c r="CN1628" s="34"/>
      <c r="CO1628" s="34"/>
      <c r="CP1628" s="34"/>
      <c r="CQ1628" s="34"/>
      <c r="CR1628" s="34"/>
      <c r="CS1628" s="34"/>
    </row>
    <row r="1629">
      <c r="A1629" s="34"/>
      <c r="B1629" s="34"/>
      <c r="C1629" s="34"/>
      <c r="D1629" s="34"/>
      <c r="E1629" s="34"/>
      <c r="F1629" s="34"/>
      <c r="G1629" s="34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  <c r="CM1629" s="34"/>
      <c r="CN1629" s="34"/>
      <c r="CO1629" s="34"/>
      <c r="CP1629" s="34"/>
      <c r="CQ1629" s="34"/>
      <c r="CR1629" s="34"/>
      <c r="CS1629" s="34"/>
    </row>
    <row r="1630">
      <c r="A1630" s="34"/>
      <c r="B1630" s="34"/>
      <c r="C1630" s="34"/>
      <c r="D1630" s="34"/>
      <c r="E1630" s="34"/>
      <c r="F1630" s="34"/>
      <c r="G1630" s="34"/>
      <c r="H1630" s="34"/>
      <c r="I1630" s="34"/>
      <c r="J1630" s="3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  <c r="CM1630" s="34"/>
      <c r="CN1630" s="34"/>
      <c r="CO1630" s="34"/>
      <c r="CP1630" s="34"/>
      <c r="CQ1630" s="34"/>
      <c r="CR1630" s="34"/>
      <c r="CS1630" s="34"/>
    </row>
    <row r="1631">
      <c r="A1631" s="34"/>
      <c r="B1631" s="34"/>
      <c r="C1631" s="34"/>
      <c r="D1631" s="34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  <c r="CM1631" s="34"/>
      <c r="CN1631" s="34"/>
      <c r="CO1631" s="34"/>
      <c r="CP1631" s="34"/>
      <c r="CQ1631" s="34"/>
      <c r="CR1631" s="34"/>
      <c r="CS1631" s="34"/>
    </row>
    <row r="1632">
      <c r="A1632" s="34"/>
      <c r="B1632" s="34"/>
      <c r="C1632" s="34"/>
      <c r="D1632" s="34"/>
      <c r="E1632" s="34"/>
      <c r="F1632" s="34"/>
      <c r="G1632" s="34"/>
      <c r="H1632" s="34"/>
      <c r="I1632" s="34"/>
      <c r="J1632" s="3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  <c r="CM1632" s="34"/>
      <c r="CN1632" s="34"/>
      <c r="CO1632" s="34"/>
      <c r="CP1632" s="34"/>
      <c r="CQ1632" s="34"/>
      <c r="CR1632" s="34"/>
      <c r="CS1632" s="34"/>
    </row>
    <row r="1633">
      <c r="A1633" s="34"/>
      <c r="B1633" s="34"/>
      <c r="C1633" s="34"/>
      <c r="D1633" s="34"/>
      <c r="E1633" s="34"/>
      <c r="F1633" s="34"/>
      <c r="G1633" s="34"/>
      <c r="H1633" s="34"/>
      <c r="I1633" s="34"/>
      <c r="J1633" s="3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  <c r="CM1633" s="34"/>
      <c r="CN1633" s="34"/>
      <c r="CO1633" s="34"/>
      <c r="CP1633" s="34"/>
      <c r="CQ1633" s="34"/>
      <c r="CR1633" s="34"/>
      <c r="CS1633" s="34"/>
    </row>
    <row r="1634">
      <c r="A1634" s="34"/>
      <c r="B1634" s="34"/>
      <c r="C1634" s="34"/>
      <c r="D1634" s="34"/>
      <c r="E1634" s="34"/>
      <c r="F1634" s="34"/>
      <c r="G1634" s="34"/>
      <c r="H1634" s="34"/>
      <c r="I1634" s="34"/>
      <c r="J1634" s="3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  <c r="CM1634" s="34"/>
      <c r="CN1634" s="34"/>
      <c r="CO1634" s="34"/>
      <c r="CP1634" s="34"/>
      <c r="CQ1634" s="34"/>
      <c r="CR1634" s="34"/>
      <c r="CS1634" s="34"/>
    </row>
    <row r="1635">
      <c r="A1635" s="34"/>
      <c r="B1635" s="34"/>
      <c r="C1635" s="34"/>
      <c r="D1635" s="34"/>
      <c r="E1635" s="34"/>
      <c r="F1635" s="34"/>
      <c r="G1635" s="34"/>
      <c r="H1635" s="34"/>
      <c r="I1635" s="34"/>
      <c r="J1635" s="3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  <c r="CM1635" s="34"/>
      <c r="CN1635" s="34"/>
      <c r="CO1635" s="34"/>
      <c r="CP1635" s="34"/>
      <c r="CQ1635" s="34"/>
      <c r="CR1635" s="34"/>
      <c r="CS1635" s="34"/>
    </row>
    <row r="1636">
      <c r="A1636" s="34"/>
      <c r="B1636" s="34"/>
      <c r="C1636" s="34"/>
      <c r="D1636" s="34"/>
      <c r="E1636" s="34"/>
      <c r="F1636" s="34"/>
      <c r="G1636" s="34"/>
      <c r="H1636" s="34"/>
      <c r="I1636" s="34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  <c r="CM1636" s="34"/>
      <c r="CN1636" s="34"/>
      <c r="CO1636" s="34"/>
      <c r="CP1636" s="34"/>
      <c r="CQ1636" s="34"/>
      <c r="CR1636" s="34"/>
      <c r="CS1636" s="34"/>
    </row>
    <row r="1637">
      <c r="A1637" s="34"/>
      <c r="B1637" s="34"/>
      <c r="C1637" s="34"/>
      <c r="D1637" s="34"/>
      <c r="E1637" s="34"/>
      <c r="F1637" s="34"/>
      <c r="G1637" s="34"/>
      <c r="H1637" s="34"/>
      <c r="I1637" s="34"/>
      <c r="J1637" s="3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  <c r="CM1637" s="34"/>
      <c r="CN1637" s="34"/>
      <c r="CO1637" s="34"/>
      <c r="CP1637" s="34"/>
      <c r="CQ1637" s="34"/>
      <c r="CR1637" s="34"/>
      <c r="CS1637" s="34"/>
    </row>
    <row r="1638">
      <c r="A1638" s="34"/>
      <c r="B1638" s="34"/>
      <c r="C1638" s="34"/>
      <c r="D1638" s="34"/>
      <c r="E1638" s="34"/>
      <c r="F1638" s="34"/>
      <c r="G1638" s="34"/>
      <c r="H1638" s="34"/>
      <c r="I1638" s="34"/>
      <c r="J1638" s="3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  <c r="CM1638" s="34"/>
      <c r="CN1638" s="34"/>
      <c r="CO1638" s="34"/>
      <c r="CP1638" s="34"/>
      <c r="CQ1638" s="34"/>
      <c r="CR1638" s="34"/>
      <c r="CS1638" s="34"/>
    </row>
    <row r="1639">
      <c r="A1639" s="34"/>
      <c r="B1639" s="34"/>
      <c r="C1639" s="34"/>
      <c r="D1639" s="34"/>
      <c r="E1639" s="34"/>
      <c r="F1639" s="34"/>
      <c r="G1639" s="34"/>
      <c r="H1639" s="34"/>
      <c r="I1639" s="34"/>
      <c r="J1639" s="3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  <c r="CM1639" s="34"/>
      <c r="CN1639" s="34"/>
      <c r="CO1639" s="34"/>
      <c r="CP1639" s="34"/>
      <c r="CQ1639" s="34"/>
      <c r="CR1639" s="34"/>
      <c r="CS1639" s="34"/>
    </row>
    <row r="1640">
      <c r="A1640" s="34"/>
      <c r="B1640" s="34"/>
      <c r="C1640" s="34"/>
      <c r="D1640" s="34"/>
      <c r="E1640" s="34"/>
      <c r="F1640" s="34"/>
      <c r="G1640" s="34"/>
      <c r="H1640" s="34"/>
      <c r="I1640" s="34"/>
      <c r="J1640" s="3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  <c r="CM1640" s="34"/>
      <c r="CN1640" s="34"/>
      <c r="CO1640" s="34"/>
      <c r="CP1640" s="34"/>
      <c r="CQ1640" s="34"/>
      <c r="CR1640" s="34"/>
      <c r="CS1640" s="34"/>
    </row>
    <row r="1641">
      <c r="A1641" s="34"/>
      <c r="B1641" s="34"/>
      <c r="C1641" s="34"/>
      <c r="D1641" s="34"/>
      <c r="E1641" s="34"/>
      <c r="F1641" s="34"/>
      <c r="G1641" s="34"/>
      <c r="H1641" s="34"/>
      <c r="I1641" s="34"/>
      <c r="J1641" s="3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  <c r="CM1641" s="34"/>
      <c r="CN1641" s="34"/>
      <c r="CO1641" s="34"/>
      <c r="CP1641" s="34"/>
      <c r="CQ1641" s="34"/>
      <c r="CR1641" s="34"/>
      <c r="CS1641" s="34"/>
    </row>
    <row r="1642">
      <c r="A1642" s="34"/>
      <c r="B1642" s="34"/>
      <c r="C1642" s="34"/>
      <c r="D1642" s="34"/>
      <c r="E1642" s="34"/>
      <c r="F1642" s="34"/>
      <c r="G1642" s="34"/>
      <c r="H1642" s="34"/>
      <c r="I1642" s="34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  <c r="CM1642" s="34"/>
      <c r="CN1642" s="34"/>
      <c r="CO1642" s="34"/>
      <c r="CP1642" s="34"/>
      <c r="CQ1642" s="34"/>
      <c r="CR1642" s="34"/>
      <c r="CS1642" s="34"/>
    </row>
    <row r="1643">
      <c r="A1643" s="34"/>
      <c r="B1643" s="34"/>
      <c r="C1643" s="34"/>
      <c r="D1643" s="34"/>
      <c r="E1643" s="34"/>
      <c r="F1643" s="34"/>
      <c r="G1643" s="34"/>
      <c r="H1643" s="34"/>
      <c r="I1643" s="34"/>
      <c r="J1643" s="3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  <c r="CM1643" s="34"/>
      <c r="CN1643" s="34"/>
      <c r="CO1643" s="34"/>
      <c r="CP1643" s="34"/>
      <c r="CQ1643" s="34"/>
      <c r="CR1643" s="34"/>
      <c r="CS1643" s="34"/>
    </row>
    <row r="1644">
      <c r="A1644" s="34"/>
      <c r="B1644" s="34"/>
      <c r="C1644" s="34"/>
      <c r="D1644" s="34"/>
      <c r="E1644" s="34"/>
      <c r="F1644" s="34"/>
      <c r="G1644" s="34"/>
      <c r="H1644" s="34"/>
      <c r="I1644" s="34"/>
      <c r="J1644" s="3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  <c r="CM1644" s="34"/>
      <c r="CN1644" s="34"/>
      <c r="CO1644" s="34"/>
      <c r="CP1644" s="34"/>
      <c r="CQ1644" s="34"/>
      <c r="CR1644" s="34"/>
      <c r="CS1644" s="34"/>
    </row>
    <row r="1645">
      <c r="A1645" s="34"/>
      <c r="B1645" s="34"/>
      <c r="C1645" s="34"/>
      <c r="D1645" s="34"/>
      <c r="E1645" s="34"/>
      <c r="F1645" s="34"/>
      <c r="G1645" s="34"/>
      <c r="H1645" s="34"/>
      <c r="I1645" s="34"/>
      <c r="J1645" s="3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  <c r="CM1645" s="34"/>
      <c r="CN1645" s="34"/>
      <c r="CO1645" s="34"/>
      <c r="CP1645" s="34"/>
      <c r="CQ1645" s="34"/>
      <c r="CR1645" s="34"/>
      <c r="CS1645" s="34"/>
    </row>
    <row r="1646">
      <c r="A1646" s="34"/>
      <c r="B1646" s="34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  <c r="CM1646" s="34"/>
      <c r="CN1646" s="34"/>
      <c r="CO1646" s="34"/>
      <c r="CP1646" s="34"/>
      <c r="CQ1646" s="34"/>
      <c r="CR1646" s="34"/>
      <c r="CS1646" s="34"/>
    </row>
    <row r="1647">
      <c r="A1647" s="34"/>
      <c r="B1647" s="34"/>
      <c r="C1647" s="34"/>
      <c r="D1647" s="34"/>
      <c r="E1647" s="34"/>
      <c r="F1647" s="34"/>
      <c r="G1647" s="34"/>
      <c r="H1647" s="34"/>
      <c r="I1647" s="34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  <c r="CM1647" s="34"/>
      <c r="CN1647" s="34"/>
      <c r="CO1647" s="34"/>
      <c r="CP1647" s="34"/>
      <c r="CQ1647" s="34"/>
      <c r="CR1647" s="34"/>
      <c r="CS1647" s="34"/>
    </row>
    <row r="1648">
      <c r="A1648" s="34"/>
      <c r="B1648" s="34"/>
      <c r="C1648" s="34"/>
      <c r="D1648" s="34"/>
      <c r="E1648" s="34"/>
      <c r="F1648" s="34"/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  <c r="CM1648" s="34"/>
      <c r="CN1648" s="34"/>
      <c r="CO1648" s="34"/>
      <c r="CP1648" s="34"/>
      <c r="CQ1648" s="34"/>
      <c r="CR1648" s="34"/>
      <c r="CS1648" s="34"/>
    </row>
    <row r="1649">
      <c r="A1649" s="34"/>
      <c r="B1649" s="34"/>
      <c r="C1649" s="34"/>
      <c r="D1649" s="34"/>
      <c r="E1649" s="34"/>
      <c r="F1649" s="34"/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  <c r="CM1649" s="34"/>
      <c r="CN1649" s="34"/>
      <c r="CO1649" s="34"/>
      <c r="CP1649" s="34"/>
      <c r="CQ1649" s="34"/>
      <c r="CR1649" s="34"/>
      <c r="CS1649" s="34"/>
    </row>
    <row r="1650">
      <c r="A1650" s="34"/>
      <c r="B1650" s="34"/>
      <c r="C1650" s="34"/>
      <c r="D1650" s="34"/>
      <c r="E1650" s="34"/>
      <c r="F1650" s="34"/>
      <c r="G1650" s="34"/>
      <c r="H1650" s="34"/>
      <c r="I1650" s="34"/>
      <c r="J1650" s="3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  <c r="CM1650" s="34"/>
      <c r="CN1650" s="34"/>
      <c r="CO1650" s="34"/>
      <c r="CP1650" s="34"/>
      <c r="CQ1650" s="34"/>
      <c r="CR1650" s="34"/>
      <c r="CS1650" s="34"/>
    </row>
    <row r="1651">
      <c r="A1651" s="34"/>
      <c r="B1651" s="34"/>
      <c r="C1651" s="34"/>
      <c r="D1651" s="34"/>
      <c r="E1651" s="34"/>
      <c r="F1651" s="34"/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  <c r="CM1651" s="34"/>
      <c r="CN1651" s="34"/>
      <c r="CO1651" s="34"/>
      <c r="CP1651" s="34"/>
      <c r="CQ1651" s="34"/>
      <c r="CR1651" s="34"/>
      <c r="CS1651" s="34"/>
    </row>
    <row r="1652">
      <c r="A1652" s="34"/>
      <c r="B1652" s="34"/>
      <c r="C1652" s="34"/>
      <c r="D1652" s="34"/>
      <c r="E1652" s="34"/>
      <c r="F1652" s="34"/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  <c r="CM1652" s="34"/>
      <c r="CN1652" s="34"/>
      <c r="CO1652" s="34"/>
      <c r="CP1652" s="34"/>
      <c r="CQ1652" s="34"/>
      <c r="CR1652" s="34"/>
      <c r="CS1652" s="34"/>
    </row>
    <row r="1653">
      <c r="A1653" s="34"/>
      <c r="B1653" s="34"/>
      <c r="C1653" s="34"/>
      <c r="D1653" s="34"/>
      <c r="E1653" s="34"/>
      <c r="F1653" s="34"/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  <c r="CM1653" s="34"/>
      <c r="CN1653" s="34"/>
      <c r="CO1653" s="34"/>
      <c r="CP1653" s="34"/>
      <c r="CQ1653" s="34"/>
      <c r="CR1653" s="34"/>
      <c r="CS1653" s="34"/>
    </row>
    <row r="1654">
      <c r="A1654" s="34"/>
      <c r="B1654" s="34"/>
      <c r="C1654" s="34"/>
      <c r="D1654" s="34"/>
      <c r="E1654" s="34"/>
      <c r="F1654" s="34"/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  <c r="CM1654" s="34"/>
      <c r="CN1654" s="34"/>
      <c r="CO1654" s="34"/>
      <c r="CP1654" s="34"/>
      <c r="CQ1654" s="34"/>
      <c r="CR1654" s="34"/>
      <c r="CS1654" s="34"/>
    </row>
    <row r="1655">
      <c r="A1655" s="34"/>
      <c r="B1655" s="34"/>
      <c r="C1655" s="34"/>
      <c r="D1655" s="34"/>
      <c r="E1655" s="34"/>
      <c r="F1655" s="34"/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  <c r="CM1655" s="34"/>
      <c r="CN1655" s="34"/>
      <c r="CO1655" s="34"/>
      <c r="CP1655" s="34"/>
      <c r="CQ1655" s="34"/>
      <c r="CR1655" s="34"/>
      <c r="CS1655" s="34"/>
    </row>
    <row r="1656">
      <c r="A1656" s="34"/>
      <c r="B1656" s="34"/>
      <c r="C1656" s="34"/>
      <c r="D1656" s="34"/>
      <c r="E1656" s="34"/>
      <c r="F1656" s="34"/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  <c r="CM1656" s="34"/>
      <c r="CN1656" s="34"/>
      <c r="CO1656" s="34"/>
      <c r="CP1656" s="34"/>
      <c r="CQ1656" s="34"/>
      <c r="CR1656" s="34"/>
      <c r="CS1656" s="34"/>
    </row>
    <row r="1657">
      <c r="A1657" s="34"/>
      <c r="B1657" s="34"/>
      <c r="C1657" s="34"/>
      <c r="D1657" s="34"/>
      <c r="E1657" s="34"/>
      <c r="F1657" s="34"/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  <c r="CM1657" s="34"/>
      <c r="CN1657" s="34"/>
      <c r="CO1657" s="34"/>
      <c r="CP1657" s="34"/>
      <c r="CQ1657" s="34"/>
      <c r="CR1657" s="34"/>
      <c r="CS1657" s="34"/>
    </row>
    <row r="1658">
      <c r="A1658" s="34"/>
      <c r="B1658" s="34"/>
      <c r="C1658" s="34"/>
      <c r="D1658" s="34"/>
      <c r="E1658" s="34"/>
      <c r="F1658" s="34"/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  <c r="CM1658" s="34"/>
      <c r="CN1658" s="34"/>
      <c r="CO1658" s="34"/>
      <c r="CP1658" s="34"/>
      <c r="CQ1658" s="34"/>
      <c r="CR1658" s="34"/>
      <c r="CS1658" s="34"/>
    </row>
    <row r="1659">
      <c r="A1659" s="34"/>
      <c r="B1659" s="34"/>
      <c r="C1659" s="34"/>
      <c r="D1659" s="34"/>
      <c r="E1659" s="34"/>
      <c r="F1659" s="34"/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  <c r="CM1659" s="34"/>
      <c r="CN1659" s="34"/>
      <c r="CO1659" s="34"/>
      <c r="CP1659" s="34"/>
      <c r="CQ1659" s="34"/>
      <c r="CR1659" s="34"/>
      <c r="CS1659" s="34"/>
    </row>
    <row r="1660">
      <c r="A1660" s="34"/>
      <c r="B1660" s="34"/>
      <c r="C1660" s="34"/>
      <c r="D1660" s="34"/>
      <c r="E1660" s="34"/>
      <c r="F1660" s="34"/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  <c r="CM1660" s="34"/>
      <c r="CN1660" s="34"/>
      <c r="CO1660" s="34"/>
      <c r="CP1660" s="34"/>
      <c r="CQ1660" s="34"/>
      <c r="CR1660" s="34"/>
      <c r="CS1660" s="34"/>
    </row>
    <row r="1661">
      <c r="A1661" s="34"/>
      <c r="B1661" s="34"/>
      <c r="C1661" s="34"/>
      <c r="D1661" s="34"/>
      <c r="E1661" s="34"/>
      <c r="F1661" s="34"/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  <c r="CM1661" s="34"/>
      <c r="CN1661" s="34"/>
      <c r="CO1661" s="34"/>
      <c r="CP1661" s="34"/>
      <c r="CQ1661" s="34"/>
      <c r="CR1661" s="34"/>
      <c r="CS1661" s="34"/>
    </row>
    <row r="1662">
      <c r="A1662" s="34"/>
      <c r="B1662" s="34"/>
      <c r="C1662" s="34"/>
      <c r="D1662" s="34"/>
      <c r="E1662" s="34"/>
      <c r="F1662" s="34"/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  <c r="CM1662" s="34"/>
      <c r="CN1662" s="34"/>
      <c r="CO1662" s="34"/>
      <c r="CP1662" s="34"/>
      <c r="CQ1662" s="34"/>
      <c r="CR1662" s="34"/>
      <c r="CS1662" s="34"/>
    </row>
    <row r="1663">
      <c r="A1663" s="34"/>
      <c r="B1663" s="34"/>
      <c r="C1663" s="34"/>
      <c r="D1663" s="34"/>
      <c r="E1663" s="34"/>
      <c r="F1663" s="34"/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  <c r="CM1663" s="34"/>
      <c r="CN1663" s="34"/>
      <c r="CO1663" s="34"/>
      <c r="CP1663" s="34"/>
      <c r="CQ1663" s="34"/>
      <c r="CR1663" s="34"/>
      <c r="CS1663" s="34"/>
    </row>
    <row r="1664">
      <c r="A1664" s="34"/>
      <c r="B1664" s="34"/>
      <c r="C1664" s="34"/>
      <c r="D1664" s="34"/>
      <c r="E1664" s="34"/>
      <c r="F1664" s="34"/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  <c r="CM1664" s="34"/>
      <c r="CN1664" s="34"/>
      <c r="CO1664" s="34"/>
      <c r="CP1664" s="34"/>
      <c r="CQ1664" s="34"/>
      <c r="CR1664" s="34"/>
      <c r="CS1664" s="34"/>
    </row>
    <row r="1665">
      <c r="A1665" s="34"/>
      <c r="B1665" s="34"/>
      <c r="C1665" s="34"/>
      <c r="D1665" s="34"/>
      <c r="E1665" s="34"/>
      <c r="F1665" s="34"/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  <c r="CM1665" s="34"/>
      <c r="CN1665" s="34"/>
      <c r="CO1665" s="34"/>
      <c r="CP1665" s="34"/>
      <c r="CQ1665" s="34"/>
      <c r="CR1665" s="34"/>
      <c r="CS1665" s="34"/>
    </row>
    <row r="1666">
      <c r="A1666" s="34"/>
      <c r="B1666" s="34"/>
      <c r="C1666" s="34"/>
      <c r="D1666" s="34"/>
      <c r="E1666" s="34"/>
      <c r="F1666" s="34"/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  <c r="CM1666" s="34"/>
      <c r="CN1666" s="34"/>
      <c r="CO1666" s="34"/>
      <c r="CP1666" s="34"/>
      <c r="CQ1666" s="34"/>
      <c r="CR1666" s="34"/>
      <c r="CS1666" s="34"/>
    </row>
    <row r="1667">
      <c r="A1667" s="34"/>
      <c r="B1667" s="34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  <c r="CM1667" s="34"/>
      <c r="CN1667" s="34"/>
      <c r="CO1667" s="34"/>
      <c r="CP1667" s="34"/>
      <c r="CQ1667" s="34"/>
      <c r="CR1667" s="34"/>
      <c r="CS1667" s="34"/>
    </row>
    <row r="1668">
      <c r="A1668" s="34"/>
      <c r="B1668" s="34"/>
      <c r="C1668" s="34"/>
      <c r="D1668" s="34"/>
      <c r="E1668" s="34"/>
      <c r="F1668" s="34"/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  <c r="CM1668" s="34"/>
      <c r="CN1668" s="34"/>
      <c r="CO1668" s="34"/>
      <c r="CP1668" s="34"/>
      <c r="CQ1668" s="34"/>
      <c r="CR1668" s="34"/>
      <c r="CS1668" s="34"/>
    </row>
    <row r="1669">
      <c r="A1669" s="34"/>
      <c r="B1669" s="34"/>
      <c r="C1669" s="34"/>
      <c r="D1669" s="34"/>
      <c r="E1669" s="34"/>
      <c r="F1669" s="34"/>
      <c r="G1669" s="34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  <c r="CM1669" s="34"/>
      <c r="CN1669" s="34"/>
      <c r="CO1669" s="34"/>
      <c r="CP1669" s="34"/>
      <c r="CQ1669" s="34"/>
      <c r="CR1669" s="34"/>
      <c r="CS1669" s="34"/>
    </row>
    <row r="1670">
      <c r="A1670" s="34"/>
      <c r="B1670" s="34"/>
      <c r="C1670" s="34"/>
      <c r="D1670" s="34"/>
      <c r="E1670" s="34"/>
      <c r="F1670" s="34"/>
      <c r="G1670" s="34"/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  <c r="CM1670" s="34"/>
      <c r="CN1670" s="34"/>
      <c r="CO1670" s="34"/>
      <c r="CP1670" s="34"/>
      <c r="CQ1670" s="34"/>
      <c r="CR1670" s="34"/>
      <c r="CS1670" s="34"/>
    </row>
    <row r="1671">
      <c r="A1671" s="34"/>
      <c r="B1671" s="34"/>
      <c r="C1671" s="34"/>
      <c r="D1671" s="34"/>
      <c r="E1671" s="34"/>
      <c r="F1671" s="34"/>
      <c r="G1671" s="34"/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  <c r="CM1671" s="34"/>
      <c r="CN1671" s="34"/>
      <c r="CO1671" s="34"/>
      <c r="CP1671" s="34"/>
      <c r="CQ1671" s="34"/>
      <c r="CR1671" s="34"/>
      <c r="CS1671" s="34"/>
    </row>
    <row r="1672">
      <c r="A1672" s="34"/>
      <c r="B1672" s="34"/>
      <c r="C1672" s="34"/>
      <c r="D1672" s="34"/>
      <c r="E1672" s="34"/>
      <c r="F1672" s="34"/>
      <c r="G1672" s="34"/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  <c r="CM1672" s="34"/>
      <c r="CN1672" s="34"/>
      <c r="CO1672" s="34"/>
      <c r="CP1672" s="34"/>
      <c r="CQ1672" s="34"/>
      <c r="CR1672" s="34"/>
      <c r="CS1672" s="34"/>
    </row>
    <row r="1673">
      <c r="A1673" s="34"/>
      <c r="B1673" s="34"/>
      <c r="C1673" s="34"/>
      <c r="D1673" s="34"/>
      <c r="E1673" s="34"/>
      <c r="F1673" s="34"/>
      <c r="G1673" s="34"/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  <c r="CM1673" s="34"/>
      <c r="CN1673" s="34"/>
      <c r="CO1673" s="34"/>
      <c r="CP1673" s="34"/>
      <c r="CQ1673" s="34"/>
      <c r="CR1673" s="34"/>
      <c r="CS1673" s="34"/>
    </row>
    <row r="1674">
      <c r="A1674" s="34"/>
      <c r="B1674" s="34"/>
      <c r="C1674" s="34"/>
      <c r="D1674" s="34"/>
      <c r="E1674" s="34"/>
      <c r="F1674" s="34"/>
      <c r="G1674" s="34"/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  <c r="CM1674" s="34"/>
      <c r="CN1674" s="34"/>
      <c r="CO1674" s="34"/>
      <c r="CP1674" s="34"/>
      <c r="CQ1674" s="34"/>
      <c r="CR1674" s="34"/>
      <c r="CS1674" s="34"/>
    </row>
    <row r="1675">
      <c r="A1675" s="34"/>
      <c r="B1675" s="34"/>
      <c r="C1675" s="34"/>
      <c r="D1675" s="34"/>
      <c r="E1675" s="34"/>
      <c r="F1675" s="34"/>
      <c r="G1675" s="34"/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  <c r="CM1675" s="34"/>
      <c r="CN1675" s="34"/>
      <c r="CO1675" s="34"/>
      <c r="CP1675" s="34"/>
      <c r="CQ1675" s="34"/>
      <c r="CR1675" s="34"/>
      <c r="CS1675" s="34"/>
    </row>
    <row r="1676">
      <c r="A1676" s="34"/>
      <c r="B1676" s="34"/>
      <c r="C1676" s="34"/>
      <c r="D1676" s="34"/>
      <c r="E1676" s="34"/>
      <c r="F1676" s="34"/>
      <c r="G1676" s="34"/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  <c r="CM1676" s="34"/>
      <c r="CN1676" s="34"/>
      <c r="CO1676" s="34"/>
      <c r="CP1676" s="34"/>
      <c r="CQ1676" s="34"/>
      <c r="CR1676" s="34"/>
      <c r="CS1676" s="34"/>
    </row>
    <row r="1677">
      <c r="A1677" s="34"/>
      <c r="B1677" s="34"/>
      <c r="C1677" s="34"/>
      <c r="D1677" s="34"/>
      <c r="E1677" s="34"/>
      <c r="F1677" s="34"/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  <c r="CM1677" s="34"/>
      <c r="CN1677" s="34"/>
      <c r="CO1677" s="34"/>
      <c r="CP1677" s="34"/>
      <c r="CQ1677" s="34"/>
      <c r="CR1677" s="34"/>
      <c r="CS1677" s="34"/>
    </row>
    <row r="1678">
      <c r="A1678" s="34"/>
      <c r="B1678" s="34"/>
      <c r="C1678" s="34"/>
      <c r="D1678" s="34"/>
      <c r="E1678" s="34"/>
      <c r="F1678" s="34"/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  <c r="CM1678" s="34"/>
      <c r="CN1678" s="34"/>
      <c r="CO1678" s="34"/>
      <c r="CP1678" s="34"/>
      <c r="CQ1678" s="34"/>
      <c r="CR1678" s="34"/>
      <c r="CS1678" s="34"/>
    </row>
    <row r="1679">
      <c r="A1679" s="34"/>
      <c r="B1679" s="34"/>
      <c r="C1679" s="34"/>
      <c r="D1679" s="34"/>
      <c r="E1679" s="34"/>
      <c r="F1679" s="34"/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  <c r="CM1679" s="34"/>
      <c r="CN1679" s="34"/>
      <c r="CO1679" s="34"/>
      <c r="CP1679" s="34"/>
      <c r="CQ1679" s="34"/>
      <c r="CR1679" s="34"/>
      <c r="CS1679" s="34"/>
    </row>
    <row r="1680">
      <c r="A1680" s="34"/>
      <c r="B1680" s="34"/>
      <c r="C1680" s="34"/>
      <c r="D1680" s="34"/>
      <c r="E1680" s="34"/>
      <c r="F1680" s="34"/>
      <c r="G1680" s="34"/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  <c r="CM1680" s="34"/>
      <c r="CN1680" s="34"/>
      <c r="CO1680" s="34"/>
      <c r="CP1680" s="34"/>
      <c r="CQ1680" s="34"/>
      <c r="CR1680" s="34"/>
      <c r="CS1680" s="34"/>
    </row>
    <row r="1681">
      <c r="A1681" s="34"/>
      <c r="B1681" s="34"/>
      <c r="C1681" s="34"/>
      <c r="D1681" s="34"/>
      <c r="E1681" s="34"/>
      <c r="F1681" s="34"/>
      <c r="G1681" s="34"/>
      <c r="H1681" s="34"/>
      <c r="I1681" s="34"/>
      <c r="J1681" s="3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  <c r="CM1681" s="34"/>
      <c r="CN1681" s="34"/>
      <c r="CO1681" s="34"/>
      <c r="CP1681" s="34"/>
      <c r="CQ1681" s="34"/>
      <c r="CR1681" s="34"/>
      <c r="CS1681" s="34"/>
    </row>
    <row r="1682">
      <c r="A1682" s="34"/>
      <c r="B1682" s="34"/>
      <c r="C1682" s="34"/>
      <c r="D1682" s="34"/>
      <c r="E1682" s="34"/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  <c r="CM1682" s="34"/>
      <c r="CN1682" s="34"/>
      <c r="CO1682" s="34"/>
      <c r="CP1682" s="34"/>
      <c r="CQ1682" s="34"/>
      <c r="CR1682" s="34"/>
      <c r="CS1682" s="34"/>
    </row>
    <row r="1683">
      <c r="A1683" s="34"/>
      <c r="B1683" s="34"/>
      <c r="C1683" s="34"/>
      <c r="D1683" s="34"/>
      <c r="E1683" s="34"/>
      <c r="F1683" s="34"/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  <c r="CM1683" s="34"/>
      <c r="CN1683" s="34"/>
      <c r="CO1683" s="34"/>
      <c r="CP1683" s="34"/>
      <c r="CQ1683" s="34"/>
      <c r="CR1683" s="34"/>
      <c r="CS1683" s="34"/>
    </row>
    <row r="1684">
      <c r="A1684" s="34"/>
      <c r="B1684" s="34"/>
      <c r="C1684" s="34"/>
      <c r="D1684" s="34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  <c r="CM1684" s="34"/>
      <c r="CN1684" s="34"/>
      <c r="CO1684" s="34"/>
      <c r="CP1684" s="34"/>
      <c r="CQ1684" s="34"/>
      <c r="CR1684" s="34"/>
      <c r="CS1684" s="34"/>
    </row>
    <row r="1685">
      <c r="A1685" s="34"/>
      <c r="B1685" s="34"/>
      <c r="C1685" s="34"/>
      <c r="D1685" s="34"/>
      <c r="E1685" s="34"/>
      <c r="F1685" s="34"/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  <c r="CM1685" s="34"/>
      <c r="CN1685" s="34"/>
      <c r="CO1685" s="34"/>
      <c r="CP1685" s="34"/>
      <c r="CQ1685" s="34"/>
      <c r="CR1685" s="34"/>
      <c r="CS1685" s="34"/>
    </row>
    <row r="1686">
      <c r="A1686" s="34"/>
      <c r="B1686" s="34"/>
      <c r="C1686" s="34"/>
      <c r="D1686" s="34"/>
      <c r="E1686" s="34"/>
      <c r="F1686" s="34"/>
      <c r="G1686" s="34"/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  <c r="CM1686" s="34"/>
      <c r="CN1686" s="34"/>
      <c r="CO1686" s="34"/>
      <c r="CP1686" s="34"/>
      <c r="CQ1686" s="34"/>
      <c r="CR1686" s="34"/>
      <c r="CS1686" s="34"/>
    </row>
    <row r="1687">
      <c r="A1687" s="34"/>
      <c r="B1687" s="34"/>
      <c r="C1687" s="34"/>
      <c r="D1687" s="34"/>
      <c r="E1687" s="34"/>
      <c r="F1687" s="34"/>
      <c r="G1687" s="34"/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  <c r="CM1687" s="34"/>
      <c r="CN1687" s="34"/>
      <c r="CO1687" s="34"/>
      <c r="CP1687" s="34"/>
      <c r="CQ1687" s="34"/>
      <c r="CR1687" s="34"/>
      <c r="CS1687" s="34"/>
    </row>
    <row r="1688">
      <c r="A1688" s="34"/>
      <c r="B1688" s="34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  <c r="CM1688" s="34"/>
      <c r="CN1688" s="34"/>
      <c r="CO1688" s="34"/>
      <c r="CP1688" s="34"/>
      <c r="CQ1688" s="34"/>
      <c r="CR1688" s="34"/>
      <c r="CS1688" s="34"/>
    </row>
    <row r="1689">
      <c r="A1689" s="34"/>
      <c r="B1689" s="34"/>
      <c r="C1689" s="34"/>
      <c r="D1689" s="34"/>
      <c r="E1689" s="34"/>
      <c r="F1689" s="34"/>
      <c r="G1689" s="34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  <c r="CM1689" s="34"/>
      <c r="CN1689" s="34"/>
      <c r="CO1689" s="34"/>
      <c r="CP1689" s="34"/>
      <c r="CQ1689" s="34"/>
      <c r="CR1689" s="34"/>
      <c r="CS1689" s="34"/>
    </row>
    <row r="1690">
      <c r="A1690" s="34"/>
      <c r="B1690" s="34"/>
      <c r="C1690" s="34"/>
      <c r="D1690" s="34"/>
      <c r="E1690" s="34"/>
      <c r="F1690" s="34"/>
      <c r="G1690" s="34"/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  <c r="CM1690" s="34"/>
      <c r="CN1690" s="34"/>
      <c r="CO1690" s="34"/>
      <c r="CP1690" s="34"/>
      <c r="CQ1690" s="34"/>
      <c r="CR1690" s="34"/>
      <c r="CS1690" s="34"/>
    </row>
    <row r="1691">
      <c r="A1691" s="34"/>
      <c r="B1691" s="34"/>
      <c r="C1691" s="34"/>
      <c r="D1691" s="34"/>
      <c r="E1691" s="34"/>
      <c r="F1691" s="34"/>
      <c r="G1691" s="34"/>
      <c r="H1691" s="34"/>
      <c r="I1691" s="34"/>
      <c r="J1691" s="3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  <c r="CM1691" s="34"/>
      <c r="CN1691" s="34"/>
      <c r="CO1691" s="34"/>
      <c r="CP1691" s="34"/>
      <c r="CQ1691" s="34"/>
      <c r="CR1691" s="34"/>
      <c r="CS1691" s="34"/>
    </row>
    <row r="1692">
      <c r="A1692" s="34"/>
      <c r="B1692" s="34"/>
      <c r="C1692" s="34"/>
      <c r="D1692" s="34"/>
      <c r="E1692" s="34"/>
      <c r="F1692" s="34"/>
      <c r="G1692" s="34"/>
      <c r="H1692" s="34"/>
      <c r="I1692" s="34"/>
      <c r="J1692" s="3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  <c r="CM1692" s="34"/>
      <c r="CN1692" s="34"/>
      <c r="CO1692" s="34"/>
      <c r="CP1692" s="34"/>
      <c r="CQ1692" s="34"/>
      <c r="CR1692" s="34"/>
      <c r="CS1692" s="34"/>
    </row>
    <row r="1693">
      <c r="A1693" s="34"/>
      <c r="B1693" s="34"/>
      <c r="C1693" s="34"/>
      <c r="D1693" s="34"/>
      <c r="E1693" s="34"/>
      <c r="F1693" s="34"/>
      <c r="G1693" s="34"/>
      <c r="H1693" s="34"/>
      <c r="I1693" s="34"/>
      <c r="J1693" s="3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  <c r="CM1693" s="34"/>
      <c r="CN1693" s="34"/>
      <c r="CO1693" s="34"/>
      <c r="CP1693" s="34"/>
      <c r="CQ1693" s="34"/>
      <c r="CR1693" s="34"/>
      <c r="CS1693" s="34"/>
    </row>
    <row r="1694">
      <c r="A1694" s="34"/>
      <c r="B1694" s="34"/>
      <c r="C1694" s="34"/>
      <c r="D1694" s="34"/>
      <c r="E1694" s="34"/>
      <c r="F1694" s="34"/>
      <c r="G1694" s="34"/>
      <c r="H1694" s="34"/>
      <c r="I1694" s="34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  <c r="CM1694" s="34"/>
      <c r="CN1694" s="34"/>
      <c r="CO1694" s="34"/>
      <c r="CP1694" s="34"/>
      <c r="CQ1694" s="34"/>
      <c r="CR1694" s="34"/>
      <c r="CS1694" s="34"/>
    </row>
    <row r="1695">
      <c r="A1695" s="34"/>
      <c r="B1695" s="34"/>
      <c r="C1695" s="34"/>
      <c r="D1695" s="34"/>
      <c r="E1695" s="34"/>
      <c r="F1695" s="34"/>
      <c r="G1695" s="34"/>
      <c r="H1695" s="34"/>
      <c r="I1695" s="34"/>
      <c r="J1695" s="3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  <c r="CM1695" s="34"/>
      <c r="CN1695" s="34"/>
      <c r="CO1695" s="34"/>
      <c r="CP1695" s="34"/>
      <c r="CQ1695" s="34"/>
      <c r="CR1695" s="34"/>
      <c r="CS1695" s="34"/>
    </row>
    <row r="1696">
      <c r="A1696" s="34"/>
      <c r="B1696" s="34"/>
      <c r="C1696" s="34"/>
      <c r="D1696" s="34"/>
      <c r="E1696" s="34"/>
      <c r="F1696" s="34"/>
      <c r="G1696" s="34"/>
      <c r="H1696" s="34"/>
      <c r="I1696" s="34"/>
      <c r="J1696" s="3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  <c r="CM1696" s="34"/>
      <c r="CN1696" s="34"/>
      <c r="CO1696" s="34"/>
      <c r="CP1696" s="34"/>
      <c r="CQ1696" s="34"/>
      <c r="CR1696" s="34"/>
      <c r="CS1696" s="34"/>
    </row>
    <row r="1697">
      <c r="A1697" s="34"/>
      <c r="B1697" s="34"/>
      <c r="C1697" s="34"/>
      <c r="D1697" s="34"/>
      <c r="E1697" s="34"/>
      <c r="F1697" s="34"/>
      <c r="G1697" s="34"/>
      <c r="H1697" s="34"/>
      <c r="I1697" s="34"/>
      <c r="J1697" s="3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  <c r="CM1697" s="34"/>
      <c r="CN1697" s="34"/>
      <c r="CO1697" s="34"/>
      <c r="CP1697" s="34"/>
      <c r="CQ1697" s="34"/>
      <c r="CR1697" s="34"/>
      <c r="CS1697" s="34"/>
    </row>
    <row r="1698">
      <c r="A1698" s="34"/>
      <c r="B1698" s="34"/>
      <c r="C1698" s="34"/>
      <c r="D1698" s="34"/>
      <c r="E1698" s="34"/>
      <c r="F1698" s="34"/>
      <c r="G1698" s="34"/>
      <c r="H1698" s="34"/>
      <c r="I1698" s="34"/>
      <c r="J1698" s="3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  <c r="CM1698" s="34"/>
      <c r="CN1698" s="34"/>
      <c r="CO1698" s="34"/>
      <c r="CP1698" s="34"/>
      <c r="CQ1698" s="34"/>
      <c r="CR1698" s="34"/>
      <c r="CS1698" s="34"/>
    </row>
    <row r="1699">
      <c r="A1699" s="34"/>
      <c r="B1699" s="34"/>
      <c r="C1699" s="34"/>
      <c r="D1699" s="34"/>
      <c r="E1699" s="34"/>
      <c r="F1699" s="34"/>
      <c r="G1699" s="34"/>
      <c r="H1699" s="34"/>
      <c r="I1699" s="34"/>
      <c r="J1699" s="3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  <c r="CM1699" s="34"/>
      <c r="CN1699" s="34"/>
      <c r="CO1699" s="34"/>
      <c r="CP1699" s="34"/>
      <c r="CQ1699" s="34"/>
      <c r="CR1699" s="34"/>
      <c r="CS1699" s="34"/>
    </row>
    <row r="1700">
      <c r="A1700" s="34"/>
      <c r="B1700" s="34"/>
      <c r="C1700" s="34"/>
      <c r="D1700" s="34"/>
      <c r="E1700" s="34"/>
      <c r="F1700" s="34"/>
      <c r="G1700" s="34"/>
      <c r="H1700" s="34"/>
      <c r="I1700" s="34"/>
      <c r="J1700" s="3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  <c r="CM1700" s="34"/>
      <c r="CN1700" s="34"/>
      <c r="CO1700" s="34"/>
      <c r="CP1700" s="34"/>
      <c r="CQ1700" s="34"/>
      <c r="CR1700" s="34"/>
      <c r="CS1700" s="34"/>
    </row>
    <row r="1701">
      <c r="A1701" s="34"/>
      <c r="B1701" s="34"/>
      <c r="C1701" s="34"/>
      <c r="D1701" s="34"/>
      <c r="E1701" s="34"/>
      <c r="F1701" s="34"/>
      <c r="G1701" s="34"/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  <c r="CM1701" s="34"/>
      <c r="CN1701" s="34"/>
      <c r="CO1701" s="34"/>
      <c r="CP1701" s="34"/>
      <c r="CQ1701" s="34"/>
      <c r="CR1701" s="34"/>
      <c r="CS1701" s="34"/>
    </row>
    <row r="1702">
      <c r="A1702" s="34"/>
      <c r="B1702" s="34"/>
      <c r="C1702" s="34"/>
      <c r="D1702" s="34"/>
      <c r="E1702" s="34"/>
      <c r="F1702" s="34"/>
      <c r="G1702" s="34"/>
      <c r="H1702" s="34"/>
      <c r="I1702" s="34"/>
      <c r="J1702" s="3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  <c r="CM1702" s="34"/>
      <c r="CN1702" s="34"/>
      <c r="CO1702" s="34"/>
      <c r="CP1702" s="34"/>
      <c r="CQ1702" s="34"/>
      <c r="CR1702" s="34"/>
      <c r="CS1702" s="34"/>
    </row>
    <row r="1703">
      <c r="A1703" s="34"/>
      <c r="B1703" s="34"/>
      <c r="C1703" s="34"/>
      <c r="D1703" s="34"/>
      <c r="E1703" s="34"/>
      <c r="F1703" s="34"/>
      <c r="G1703" s="34"/>
      <c r="H1703" s="34"/>
      <c r="I1703" s="34"/>
      <c r="J1703" s="3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  <c r="CM1703" s="34"/>
      <c r="CN1703" s="34"/>
      <c r="CO1703" s="34"/>
      <c r="CP1703" s="34"/>
      <c r="CQ1703" s="34"/>
      <c r="CR1703" s="34"/>
      <c r="CS1703" s="34"/>
    </row>
    <row r="1704">
      <c r="A1704" s="34"/>
      <c r="B1704" s="34"/>
      <c r="C1704" s="34"/>
      <c r="D1704" s="34"/>
      <c r="E1704" s="34"/>
      <c r="F1704" s="34"/>
      <c r="G1704" s="34"/>
      <c r="H1704" s="34"/>
      <c r="I1704" s="34"/>
      <c r="J1704" s="3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  <c r="CM1704" s="34"/>
      <c r="CN1704" s="34"/>
      <c r="CO1704" s="34"/>
      <c r="CP1704" s="34"/>
      <c r="CQ1704" s="34"/>
      <c r="CR1704" s="34"/>
      <c r="CS1704" s="34"/>
    </row>
    <row r="1705">
      <c r="A1705" s="34"/>
      <c r="B1705" s="34"/>
      <c r="C1705" s="34"/>
      <c r="D1705" s="34"/>
      <c r="E1705" s="34"/>
      <c r="F1705" s="34"/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  <c r="CM1705" s="34"/>
      <c r="CN1705" s="34"/>
      <c r="CO1705" s="34"/>
      <c r="CP1705" s="34"/>
      <c r="CQ1705" s="34"/>
      <c r="CR1705" s="34"/>
      <c r="CS1705" s="34"/>
    </row>
    <row r="1706">
      <c r="A1706" s="34"/>
      <c r="B1706" s="34"/>
      <c r="C1706" s="34"/>
      <c r="D1706" s="34"/>
      <c r="E1706" s="34"/>
      <c r="F1706" s="34"/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  <c r="CM1706" s="34"/>
      <c r="CN1706" s="34"/>
      <c r="CO1706" s="34"/>
      <c r="CP1706" s="34"/>
      <c r="CQ1706" s="34"/>
      <c r="CR1706" s="34"/>
      <c r="CS1706" s="34"/>
    </row>
    <row r="1707">
      <c r="A1707" s="34"/>
      <c r="B1707" s="34"/>
      <c r="C1707" s="34"/>
      <c r="D1707" s="34"/>
      <c r="E1707" s="34"/>
      <c r="F1707" s="34"/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  <c r="CM1707" s="34"/>
      <c r="CN1707" s="34"/>
      <c r="CO1707" s="34"/>
      <c r="CP1707" s="34"/>
      <c r="CQ1707" s="34"/>
      <c r="CR1707" s="34"/>
      <c r="CS1707" s="34"/>
    </row>
    <row r="1708">
      <c r="A1708" s="34"/>
      <c r="B1708" s="34"/>
      <c r="C1708" s="34"/>
      <c r="D1708" s="34"/>
      <c r="E1708" s="34"/>
      <c r="F1708" s="34"/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  <c r="CM1708" s="34"/>
      <c r="CN1708" s="34"/>
      <c r="CO1708" s="34"/>
      <c r="CP1708" s="34"/>
      <c r="CQ1708" s="34"/>
      <c r="CR1708" s="34"/>
      <c r="CS1708" s="34"/>
    </row>
    <row r="1709">
      <c r="A1709" s="34"/>
      <c r="B1709" s="34"/>
      <c r="C1709" s="34"/>
      <c r="D1709" s="34"/>
      <c r="E1709" s="34"/>
      <c r="F1709" s="34"/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  <c r="CM1709" s="34"/>
      <c r="CN1709" s="34"/>
      <c r="CO1709" s="34"/>
      <c r="CP1709" s="34"/>
      <c r="CQ1709" s="34"/>
      <c r="CR1709" s="34"/>
      <c r="CS1709" s="34"/>
    </row>
    <row r="1710">
      <c r="A1710" s="34"/>
      <c r="B1710" s="34"/>
      <c r="C1710" s="34"/>
      <c r="D1710" s="34"/>
      <c r="E1710" s="34"/>
      <c r="F1710" s="34"/>
      <c r="G1710" s="34"/>
      <c r="H1710" s="34"/>
      <c r="I1710" s="34"/>
      <c r="J1710" s="3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  <c r="CM1710" s="34"/>
      <c r="CN1710" s="34"/>
      <c r="CO1710" s="34"/>
      <c r="CP1710" s="34"/>
      <c r="CQ1710" s="34"/>
      <c r="CR1710" s="34"/>
      <c r="CS1710" s="34"/>
    </row>
    <row r="1711">
      <c r="A1711" s="34"/>
      <c r="B1711" s="34"/>
      <c r="C1711" s="34"/>
      <c r="D1711" s="34"/>
      <c r="E1711" s="34"/>
      <c r="F1711" s="34"/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  <c r="CM1711" s="34"/>
      <c r="CN1711" s="34"/>
      <c r="CO1711" s="34"/>
      <c r="CP1711" s="34"/>
      <c r="CQ1711" s="34"/>
      <c r="CR1711" s="34"/>
      <c r="CS1711" s="34"/>
    </row>
    <row r="1712">
      <c r="A1712" s="34"/>
      <c r="B1712" s="34"/>
      <c r="C1712" s="34"/>
      <c r="D1712" s="34"/>
      <c r="E1712" s="34"/>
      <c r="F1712" s="34"/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  <c r="CM1712" s="34"/>
      <c r="CN1712" s="34"/>
      <c r="CO1712" s="34"/>
      <c r="CP1712" s="34"/>
      <c r="CQ1712" s="34"/>
      <c r="CR1712" s="34"/>
      <c r="CS1712" s="34"/>
    </row>
    <row r="1713">
      <c r="A1713" s="34"/>
      <c r="B1713" s="34"/>
      <c r="C1713" s="34"/>
      <c r="D1713" s="34"/>
      <c r="E1713" s="34"/>
      <c r="F1713" s="34"/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  <c r="CM1713" s="34"/>
      <c r="CN1713" s="34"/>
      <c r="CO1713" s="34"/>
      <c r="CP1713" s="34"/>
      <c r="CQ1713" s="34"/>
      <c r="CR1713" s="34"/>
      <c r="CS1713" s="34"/>
    </row>
    <row r="1714">
      <c r="A1714" s="34"/>
      <c r="B1714" s="34"/>
      <c r="C1714" s="34"/>
      <c r="D1714" s="34"/>
      <c r="E1714" s="34"/>
      <c r="F1714" s="34"/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  <c r="CM1714" s="34"/>
      <c r="CN1714" s="34"/>
      <c r="CO1714" s="34"/>
      <c r="CP1714" s="34"/>
      <c r="CQ1714" s="34"/>
      <c r="CR1714" s="34"/>
      <c r="CS1714" s="34"/>
    </row>
    <row r="1715">
      <c r="A1715" s="34"/>
      <c r="B1715" s="34"/>
      <c r="C1715" s="34"/>
      <c r="D1715" s="34"/>
      <c r="E1715" s="34"/>
      <c r="F1715" s="34"/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  <c r="CM1715" s="34"/>
      <c r="CN1715" s="34"/>
      <c r="CO1715" s="34"/>
      <c r="CP1715" s="34"/>
      <c r="CQ1715" s="34"/>
      <c r="CR1715" s="34"/>
      <c r="CS1715" s="34"/>
    </row>
    <row r="1716">
      <c r="A1716" s="34"/>
      <c r="B1716" s="34"/>
      <c r="C1716" s="34"/>
      <c r="D1716" s="34"/>
      <c r="E1716" s="34"/>
      <c r="F1716" s="34"/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  <c r="CM1716" s="34"/>
      <c r="CN1716" s="34"/>
      <c r="CO1716" s="34"/>
      <c r="CP1716" s="34"/>
      <c r="CQ1716" s="34"/>
      <c r="CR1716" s="34"/>
      <c r="CS1716" s="34"/>
    </row>
    <row r="1717">
      <c r="A1717" s="34"/>
      <c r="B1717" s="34"/>
      <c r="C1717" s="34"/>
      <c r="D1717" s="34"/>
      <c r="E1717" s="34"/>
      <c r="F1717" s="34"/>
      <c r="G1717" s="34"/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  <c r="CM1717" s="34"/>
      <c r="CN1717" s="34"/>
      <c r="CO1717" s="34"/>
      <c r="CP1717" s="34"/>
      <c r="CQ1717" s="34"/>
      <c r="CR1717" s="34"/>
      <c r="CS1717" s="34"/>
    </row>
    <row r="1718">
      <c r="A1718" s="34"/>
      <c r="B1718" s="34"/>
      <c r="C1718" s="34"/>
      <c r="D1718" s="34"/>
      <c r="E1718" s="34"/>
      <c r="F1718" s="34"/>
      <c r="G1718" s="34"/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  <c r="CM1718" s="34"/>
      <c r="CN1718" s="34"/>
      <c r="CO1718" s="34"/>
      <c r="CP1718" s="34"/>
      <c r="CQ1718" s="34"/>
      <c r="CR1718" s="34"/>
      <c r="CS1718" s="34"/>
    </row>
    <row r="1719">
      <c r="A1719" s="34"/>
      <c r="B1719" s="34"/>
      <c r="C1719" s="34"/>
      <c r="D1719" s="34"/>
      <c r="E1719" s="34"/>
      <c r="F1719" s="34"/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  <c r="CM1719" s="34"/>
      <c r="CN1719" s="34"/>
      <c r="CO1719" s="34"/>
      <c r="CP1719" s="34"/>
      <c r="CQ1719" s="34"/>
      <c r="CR1719" s="34"/>
      <c r="CS1719" s="34"/>
    </row>
    <row r="1720">
      <c r="A1720" s="34"/>
      <c r="B1720" s="34"/>
      <c r="C1720" s="34"/>
      <c r="D1720" s="34"/>
      <c r="E1720" s="34"/>
      <c r="F1720" s="34"/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  <c r="CM1720" s="34"/>
      <c r="CN1720" s="34"/>
      <c r="CO1720" s="34"/>
      <c r="CP1720" s="34"/>
      <c r="CQ1720" s="34"/>
      <c r="CR1720" s="34"/>
      <c r="CS1720" s="34"/>
    </row>
    <row r="1721">
      <c r="A1721" s="34"/>
      <c r="B1721" s="34"/>
      <c r="C1721" s="34"/>
      <c r="D1721" s="34"/>
      <c r="E1721" s="34"/>
      <c r="F1721" s="34"/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  <c r="CM1721" s="34"/>
      <c r="CN1721" s="34"/>
      <c r="CO1721" s="34"/>
      <c r="CP1721" s="34"/>
      <c r="CQ1721" s="34"/>
      <c r="CR1721" s="34"/>
      <c r="CS1721" s="34"/>
    </row>
    <row r="1722">
      <c r="A1722" s="34"/>
      <c r="B1722" s="34"/>
      <c r="C1722" s="34"/>
      <c r="D1722" s="34"/>
      <c r="E1722" s="34"/>
      <c r="F1722" s="34"/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  <c r="CM1722" s="34"/>
      <c r="CN1722" s="34"/>
      <c r="CO1722" s="34"/>
      <c r="CP1722" s="34"/>
      <c r="CQ1722" s="34"/>
      <c r="CR1722" s="34"/>
      <c r="CS1722" s="34"/>
    </row>
    <row r="1723">
      <c r="A1723" s="34"/>
      <c r="B1723" s="34"/>
      <c r="C1723" s="34"/>
      <c r="D1723" s="34"/>
      <c r="E1723" s="34"/>
      <c r="F1723" s="34"/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  <c r="CM1723" s="34"/>
      <c r="CN1723" s="34"/>
      <c r="CO1723" s="34"/>
      <c r="CP1723" s="34"/>
      <c r="CQ1723" s="34"/>
      <c r="CR1723" s="34"/>
      <c r="CS1723" s="34"/>
    </row>
    <row r="1724">
      <c r="A1724" s="34"/>
      <c r="B1724" s="34"/>
      <c r="C1724" s="34"/>
      <c r="D1724" s="34"/>
      <c r="E1724" s="34"/>
      <c r="F1724" s="34"/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  <c r="CM1724" s="34"/>
      <c r="CN1724" s="34"/>
      <c r="CO1724" s="34"/>
      <c r="CP1724" s="34"/>
      <c r="CQ1724" s="34"/>
      <c r="CR1724" s="34"/>
      <c r="CS1724" s="34"/>
    </row>
    <row r="1725">
      <c r="A1725" s="34"/>
      <c r="B1725" s="34"/>
      <c r="C1725" s="34"/>
      <c r="D1725" s="34"/>
      <c r="E1725" s="34"/>
      <c r="F1725" s="34"/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  <c r="CM1725" s="34"/>
      <c r="CN1725" s="34"/>
      <c r="CO1725" s="34"/>
      <c r="CP1725" s="34"/>
      <c r="CQ1725" s="34"/>
      <c r="CR1725" s="34"/>
      <c r="CS1725" s="34"/>
    </row>
    <row r="1726">
      <c r="A1726" s="34"/>
      <c r="B1726" s="34"/>
      <c r="C1726" s="34"/>
      <c r="D1726" s="34"/>
      <c r="E1726" s="34"/>
      <c r="F1726" s="34"/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  <c r="CM1726" s="34"/>
      <c r="CN1726" s="34"/>
      <c r="CO1726" s="34"/>
      <c r="CP1726" s="34"/>
      <c r="CQ1726" s="34"/>
      <c r="CR1726" s="34"/>
      <c r="CS1726" s="34"/>
    </row>
    <row r="1727">
      <c r="A1727" s="34"/>
      <c r="B1727" s="34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  <c r="CM1727" s="34"/>
      <c r="CN1727" s="34"/>
      <c r="CO1727" s="34"/>
      <c r="CP1727" s="34"/>
      <c r="CQ1727" s="34"/>
      <c r="CR1727" s="34"/>
      <c r="CS1727" s="34"/>
    </row>
    <row r="1728">
      <c r="A1728" s="34"/>
      <c r="B1728" s="34"/>
      <c r="C1728" s="34"/>
      <c r="D1728" s="34"/>
      <c r="E1728" s="34"/>
      <c r="F1728" s="34"/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  <c r="CM1728" s="34"/>
      <c r="CN1728" s="34"/>
      <c r="CO1728" s="34"/>
      <c r="CP1728" s="34"/>
      <c r="CQ1728" s="34"/>
      <c r="CR1728" s="34"/>
      <c r="CS1728" s="34"/>
    </row>
    <row r="1729">
      <c r="A1729" s="34"/>
      <c r="B1729" s="34"/>
      <c r="C1729" s="34"/>
      <c r="D1729" s="34"/>
      <c r="E1729" s="34"/>
      <c r="F1729" s="34"/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  <c r="CM1729" s="34"/>
      <c r="CN1729" s="34"/>
      <c r="CO1729" s="34"/>
      <c r="CP1729" s="34"/>
      <c r="CQ1729" s="34"/>
      <c r="CR1729" s="34"/>
      <c r="CS1729" s="34"/>
    </row>
    <row r="1730">
      <c r="A1730" s="34"/>
      <c r="B1730" s="34"/>
      <c r="C1730" s="34"/>
      <c r="D1730" s="34"/>
      <c r="E1730" s="34"/>
      <c r="F1730" s="34"/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  <c r="CM1730" s="34"/>
      <c r="CN1730" s="34"/>
      <c r="CO1730" s="34"/>
      <c r="CP1730" s="34"/>
      <c r="CQ1730" s="34"/>
      <c r="CR1730" s="34"/>
      <c r="CS1730" s="34"/>
    </row>
    <row r="1731">
      <c r="A1731" s="34"/>
      <c r="B1731" s="34"/>
      <c r="C1731" s="34"/>
      <c r="D1731" s="34"/>
      <c r="E1731" s="34"/>
      <c r="F1731" s="34"/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  <c r="CM1731" s="34"/>
      <c r="CN1731" s="34"/>
      <c r="CO1731" s="34"/>
      <c r="CP1731" s="34"/>
      <c r="CQ1731" s="34"/>
      <c r="CR1731" s="34"/>
      <c r="CS1731" s="34"/>
    </row>
    <row r="1732">
      <c r="A1732" s="34"/>
      <c r="B1732" s="34"/>
      <c r="C1732" s="34"/>
      <c r="D1732" s="34"/>
      <c r="E1732" s="34"/>
      <c r="F1732" s="34"/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  <c r="CM1732" s="34"/>
      <c r="CN1732" s="34"/>
      <c r="CO1732" s="34"/>
      <c r="CP1732" s="34"/>
      <c r="CQ1732" s="34"/>
      <c r="CR1732" s="34"/>
      <c r="CS1732" s="34"/>
    </row>
    <row r="1733">
      <c r="A1733" s="34"/>
      <c r="B1733" s="34"/>
      <c r="C1733" s="34"/>
      <c r="D1733" s="34"/>
      <c r="E1733" s="34"/>
      <c r="F1733" s="34"/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  <c r="CM1733" s="34"/>
      <c r="CN1733" s="34"/>
      <c r="CO1733" s="34"/>
      <c r="CP1733" s="34"/>
      <c r="CQ1733" s="34"/>
      <c r="CR1733" s="34"/>
      <c r="CS1733" s="34"/>
    </row>
    <row r="1734">
      <c r="A1734" s="34"/>
      <c r="B1734" s="34"/>
      <c r="C1734" s="34"/>
      <c r="D1734" s="34"/>
      <c r="E1734" s="34"/>
      <c r="F1734" s="34"/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  <c r="CM1734" s="34"/>
      <c r="CN1734" s="34"/>
      <c r="CO1734" s="34"/>
      <c r="CP1734" s="34"/>
      <c r="CQ1734" s="34"/>
      <c r="CR1734" s="34"/>
      <c r="CS1734" s="34"/>
    </row>
    <row r="1735">
      <c r="A1735" s="34"/>
      <c r="B1735" s="34"/>
      <c r="C1735" s="34"/>
      <c r="D1735" s="34"/>
      <c r="E1735" s="34"/>
      <c r="F1735" s="34"/>
      <c r="G1735" s="34"/>
      <c r="H1735" s="34"/>
      <c r="I1735" s="34"/>
      <c r="J1735" s="3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  <c r="CM1735" s="34"/>
      <c r="CN1735" s="34"/>
      <c r="CO1735" s="34"/>
      <c r="CP1735" s="34"/>
      <c r="CQ1735" s="34"/>
      <c r="CR1735" s="34"/>
      <c r="CS1735" s="34"/>
    </row>
    <row r="1736">
      <c r="A1736" s="34"/>
      <c r="B1736" s="34"/>
      <c r="C1736" s="34"/>
      <c r="D1736" s="34"/>
      <c r="E1736" s="34"/>
      <c r="F1736" s="34"/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  <c r="CM1736" s="34"/>
      <c r="CN1736" s="34"/>
      <c r="CO1736" s="34"/>
      <c r="CP1736" s="34"/>
      <c r="CQ1736" s="34"/>
      <c r="CR1736" s="34"/>
      <c r="CS1736" s="34"/>
    </row>
    <row r="1737">
      <c r="A1737" s="34"/>
      <c r="B1737" s="34"/>
      <c r="C1737" s="34"/>
      <c r="D1737" s="34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  <c r="CM1737" s="34"/>
      <c r="CN1737" s="34"/>
      <c r="CO1737" s="34"/>
      <c r="CP1737" s="34"/>
      <c r="CQ1737" s="34"/>
      <c r="CR1737" s="34"/>
      <c r="CS1737" s="34"/>
    </row>
    <row r="1738">
      <c r="A1738" s="34"/>
      <c r="B1738" s="34"/>
      <c r="C1738" s="34"/>
      <c r="D1738" s="34"/>
      <c r="E1738" s="34"/>
      <c r="F1738" s="34"/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  <c r="CM1738" s="34"/>
      <c r="CN1738" s="34"/>
      <c r="CO1738" s="34"/>
      <c r="CP1738" s="34"/>
      <c r="CQ1738" s="34"/>
      <c r="CR1738" s="34"/>
      <c r="CS1738" s="34"/>
    </row>
    <row r="1739">
      <c r="A1739" s="34"/>
      <c r="B1739" s="34"/>
      <c r="C1739" s="34"/>
      <c r="D1739" s="34"/>
      <c r="E1739" s="34"/>
      <c r="F1739" s="34"/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  <c r="CM1739" s="34"/>
      <c r="CN1739" s="34"/>
      <c r="CO1739" s="34"/>
      <c r="CP1739" s="34"/>
      <c r="CQ1739" s="34"/>
      <c r="CR1739" s="34"/>
      <c r="CS1739" s="34"/>
    </row>
    <row r="1740">
      <c r="A1740" s="34"/>
      <c r="B1740" s="34"/>
      <c r="C1740" s="34"/>
      <c r="D1740" s="34"/>
      <c r="E1740" s="34"/>
      <c r="F1740" s="34"/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  <c r="CM1740" s="34"/>
      <c r="CN1740" s="34"/>
      <c r="CO1740" s="34"/>
      <c r="CP1740" s="34"/>
      <c r="CQ1740" s="34"/>
      <c r="CR1740" s="34"/>
      <c r="CS1740" s="34"/>
    </row>
    <row r="1741">
      <c r="A1741" s="34"/>
      <c r="B1741" s="34"/>
      <c r="C1741" s="34"/>
      <c r="D1741" s="34"/>
      <c r="E1741" s="34"/>
      <c r="F1741" s="34"/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  <c r="CM1741" s="34"/>
      <c r="CN1741" s="34"/>
      <c r="CO1741" s="34"/>
      <c r="CP1741" s="34"/>
      <c r="CQ1741" s="34"/>
      <c r="CR1741" s="34"/>
      <c r="CS1741" s="34"/>
    </row>
    <row r="1742">
      <c r="A1742" s="34"/>
      <c r="B1742" s="34"/>
      <c r="C1742" s="34"/>
      <c r="D1742" s="34"/>
      <c r="E1742" s="34"/>
      <c r="F1742" s="34"/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  <c r="CM1742" s="34"/>
      <c r="CN1742" s="34"/>
      <c r="CO1742" s="34"/>
      <c r="CP1742" s="34"/>
      <c r="CQ1742" s="34"/>
      <c r="CR1742" s="34"/>
      <c r="CS1742" s="34"/>
    </row>
    <row r="1743">
      <c r="A1743" s="34"/>
      <c r="B1743" s="34"/>
      <c r="C1743" s="34"/>
      <c r="D1743" s="34"/>
      <c r="E1743" s="34"/>
      <c r="F1743" s="34"/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  <c r="CM1743" s="34"/>
      <c r="CN1743" s="34"/>
      <c r="CO1743" s="34"/>
      <c r="CP1743" s="34"/>
      <c r="CQ1743" s="34"/>
      <c r="CR1743" s="34"/>
      <c r="CS1743" s="34"/>
    </row>
    <row r="1744">
      <c r="A1744" s="34"/>
      <c r="B1744" s="34"/>
      <c r="C1744" s="34"/>
      <c r="D1744" s="34"/>
      <c r="E1744" s="34"/>
      <c r="F1744" s="34"/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  <c r="CM1744" s="34"/>
      <c r="CN1744" s="34"/>
      <c r="CO1744" s="34"/>
      <c r="CP1744" s="34"/>
      <c r="CQ1744" s="34"/>
      <c r="CR1744" s="34"/>
      <c r="CS1744" s="34"/>
    </row>
    <row r="1745">
      <c r="A1745" s="34"/>
      <c r="B1745" s="34"/>
      <c r="C1745" s="34"/>
      <c r="D1745" s="34"/>
      <c r="E1745" s="34"/>
      <c r="F1745" s="34"/>
      <c r="G1745" s="34"/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  <c r="CM1745" s="34"/>
      <c r="CN1745" s="34"/>
      <c r="CO1745" s="34"/>
      <c r="CP1745" s="34"/>
      <c r="CQ1745" s="34"/>
      <c r="CR1745" s="34"/>
      <c r="CS1745" s="34"/>
    </row>
  </sheetData>
  <hyperlinks>
    <hyperlink r:id="rId2" ref="A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5"/>
    <col customWidth="1" min="2" max="2" width="20.63"/>
    <col customWidth="1" min="3" max="3" width="11.63"/>
    <col customWidth="1" min="4" max="4" width="18.63"/>
    <col customWidth="1" min="5" max="5" width="8.88"/>
    <col customWidth="1" min="6" max="6" width="19.13"/>
    <col customWidth="1" min="7" max="7" width="1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16.88"/>
    <col customWidth="1" min="3" max="3" width="20.5"/>
  </cols>
  <sheetData>
    <row r="1"/>
    <row r="2"/>
    <row r="3"/>
    <row r="4"/>
  </sheetData>
  <autoFilter ref="$A$1:$B$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hidden="1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hidden="1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hidden="1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hidden="1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hidden="1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hidden="1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hidden="1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hidden="1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hidden="1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hidden="1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hidden="1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hidden="1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hidden="1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hidden="1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hidden="1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hidden="1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hidden="1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hidden="1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hidden="1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hidden="1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hidden="1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hidden="1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hidden="1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hidden="1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hidden="1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hidden="1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hidden="1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hidden="1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hidden="1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hidden="1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hidden="1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hidden="1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hidden="1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hidden="1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hidden="1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hidden="1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hidden="1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hidden="1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hidden="1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hidden="1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hidden="1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hidden="1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hidden="1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hidden="1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hidden="1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hidden="1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hidden="1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hidden="1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hidden="1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hidden="1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hidden="1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hidden="1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hidden="1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hidden="1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hidden="1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hidden="1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hidden="1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hidden="1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hidden="1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hidden="1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hidden="1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hidden="1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hidden="1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hidden="1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hidden="1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hidden="1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hidden="1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hidden="1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hidden="1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hidden="1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hidden="1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hidden="1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hidden="1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hidden="1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hidden="1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hidden="1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hidden="1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hidden="1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hidden="1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hidden="1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hidden="1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hidden="1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hidden="1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hidden="1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hidden="1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hidden="1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hidden="1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hidden="1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hidden="1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hidden="1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hidden="1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hidden="1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hidden="1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hidden="1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hidden="1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hidden="1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hidden="1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hidden="1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hidden="1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hidden="1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hidden="1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hidden="1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hidden="1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hidden="1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hidden="1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hidden="1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hidden="1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hidden="1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hidden="1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hidden="1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hidden="1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hidden="1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hidden="1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hidden="1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hidden="1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hidden="1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hidden="1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hidden="1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hidden="1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hidden="1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hidden="1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hidden="1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hidden="1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hidden="1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hidden="1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hidden="1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hidden="1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hidden="1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hidden="1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hidden="1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hidden="1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hidden="1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hidden="1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hidden="1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hidden="1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hidden="1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hidden="1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hidden="1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hidden="1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hidden="1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hidden="1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hidden="1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hidden="1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hidden="1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hidden="1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hidden="1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hidden="1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hidden="1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hidden="1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hidden="1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hidden="1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hidden="1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hidden="1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hidden="1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hidden="1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hidden="1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hidden="1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hidden="1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hidden="1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hidden="1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hidden="1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hidden="1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hidden="1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hidden="1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hidden="1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hidden="1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hidden="1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hidden="1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hidden="1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hidden="1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hidden="1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hidden="1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hidden="1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hidden="1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hidden="1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hidden="1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hidden="1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hidden="1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hidden="1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hidden="1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hidden="1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hidden="1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hidden="1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hidden="1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hidden="1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hidden="1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hidden="1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hidden="1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hidden="1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hidden="1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hidden="1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hidden="1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hidden="1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hidden="1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hidden="1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hidden="1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hidden="1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hidden="1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hidden="1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hidden="1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hidden="1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hidden="1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hidden="1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hidden="1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hidden="1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hidden="1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hidden="1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hidden="1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hidden="1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hidden="1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hidden="1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hidden="1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hidden="1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hidden="1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hidden="1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hidden="1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hidden="1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hidden="1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hidden="1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hidden="1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hidden="1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hidden="1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hidden="1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hidden="1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hidden="1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hidden="1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hidden="1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hidden="1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hidden="1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hidden="1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hidden="1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hidden="1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hidden="1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hidden="1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hidden="1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hidden="1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hidden="1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hidden="1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hidden="1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hidden="1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hidden="1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hidden="1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hidden="1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hidden="1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hidden="1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hidden="1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hidden="1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hidden="1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hidden="1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hidden="1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hidden="1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hidden="1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hidden="1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hidden="1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hidden="1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hidden="1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hidden="1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hidden="1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hidden="1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hidden="1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hidden="1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hidden="1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hidden="1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hidden="1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hidden="1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hidden="1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hidden="1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hidden="1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hidden="1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hidden="1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hidden="1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hidden="1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hidden="1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hidden="1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hidden="1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hidden="1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hidden="1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hidden="1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hidden="1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hidden="1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hidden="1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hidden="1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hidden="1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hidden="1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hidden="1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hidden="1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hidden="1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hidden="1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hidden="1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hidden="1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hidden="1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hidden="1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hidden="1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hidden="1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hidden="1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hidden="1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hidden="1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hidden="1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hidden="1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hidden="1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hidden="1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hidden="1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hidden="1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hidden="1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hidden="1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hidden="1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hidden="1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hidden="1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hidden="1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hidden="1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hidden="1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hidden="1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hidden="1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hidden="1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hidden="1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hidden="1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hidden="1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hidden="1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hidden="1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hidden="1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hidden="1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hidden="1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hidden="1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hidden="1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hidden="1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hidden="1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hidden="1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hidden="1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hidden="1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hidden="1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hidden="1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hidden="1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hidden="1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hidden="1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hidden="1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hidden="1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hidden="1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hidden="1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hidden="1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hidden="1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hidden="1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hidden="1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hidden="1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hidden="1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hidden="1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hidden="1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hidden="1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hidden="1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hidden="1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hidden="1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hidden="1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hidden="1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hidden="1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hidden="1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hidden="1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hidden="1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hidden="1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hidden="1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hidden="1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hidden="1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hidden="1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hidden="1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hidden="1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hidden="1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hidden="1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hidden="1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hidden="1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hidden="1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hidden="1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hidden="1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hidden="1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hidden="1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hidden="1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hidden="1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hidden="1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hidden="1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hidden="1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hidden="1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hidden="1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hidden="1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hidden="1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hidden="1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hidden="1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hidden="1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hidden="1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hidden="1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hidden="1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hidden="1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hidden="1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hidden="1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hidden="1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hidden="1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hidden="1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hidden="1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hidden="1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hidden="1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hidden="1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hidden="1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hidden="1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hidden="1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hidden="1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hidden="1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hidden="1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hidden="1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hidden="1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hidden="1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hidden="1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hidden="1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hidden="1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hidden="1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hidden="1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hidden="1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hidden="1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hidden="1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hidden="1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hidden="1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hidden="1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hidden="1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hidden="1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hidden="1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hidden="1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hidden="1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hidden="1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hidden="1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hidden="1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hidden="1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hidden="1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hidden="1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hidden="1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hidden="1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hidden="1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hidden="1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hidden="1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hidden="1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hidden="1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hidden="1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hidden="1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hidden="1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hidden="1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hidden="1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hidden="1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hidden="1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hidden="1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hidden="1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hidden="1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hidden="1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hidden="1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hidden="1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hidden="1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hidden="1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hidden="1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hidden="1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hidden="1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hidden="1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hidden="1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hidden="1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hidden="1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hidden="1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hidden="1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hidden="1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hidden="1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hidden="1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hidden="1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hidden="1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hidden="1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hidden="1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hidden="1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hidden="1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hidden="1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hidden="1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hidden="1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hidden="1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hidden="1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hidden="1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hidden="1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hidden="1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hidden="1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hidden="1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hidden="1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hidden="1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hidden="1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hidden="1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hidden="1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hidden="1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hidden="1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hidden="1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hidden="1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hidden="1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hidden="1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hidden="1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hidden="1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hidden="1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hidden="1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hidden="1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hidden="1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hidden="1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hidden="1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hidden="1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hidden="1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hidden="1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hidden="1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hidden="1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hidden="1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hidden="1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hidden="1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hidden="1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hidden="1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hidden="1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hidden="1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hidden="1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hidden="1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hidden="1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hidden="1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hidden="1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hidden="1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hidden="1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hidden="1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hidden="1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hidden="1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hidden="1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hidden="1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hidden="1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hidden="1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hidden="1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hidden="1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hidden="1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hidden="1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hidden="1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hidden="1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hidden="1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hidden="1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hidden="1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hidden="1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hidden="1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hidden="1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hidden="1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hidden="1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hidden="1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hidden="1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hidden="1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hidden="1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hidden="1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hidden="1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hidden="1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hidden="1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hidden="1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hidden="1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hidden="1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hidden="1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hidden="1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hidden="1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hidden="1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hidden="1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hidden="1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hidden="1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hidden="1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hidden="1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hidden="1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hidden="1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hidden="1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hidden="1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hidden="1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hidden="1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hidden="1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hidden="1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hidden="1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hidden="1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hidden="1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hidden="1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hidden="1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hidden="1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hidden="1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hidden="1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hidden="1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hidden="1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hidden="1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hidden="1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hidden="1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hidden="1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hidden="1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hidden="1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hidden="1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hidden="1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hidden="1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hidden="1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hidden="1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hidden="1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hidden="1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hidden="1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hidden="1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hidden="1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hidden="1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hidden="1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hidden="1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hidden="1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hidden="1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hidden="1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hidden="1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hidden="1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hidden="1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hidden="1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hidden="1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hidden="1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hidden="1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hidden="1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hidden="1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hidden="1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hidden="1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hidden="1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hidden="1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hidden="1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hidden="1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hidden="1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hidden="1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hidden="1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hidden="1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hidden="1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hidden="1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hidden="1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hidden="1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hidden="1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hidden="1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hidden="1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hidden="1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hidden="1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hidden="1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hidden="1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hidden="1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hidden="1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hidden="1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hidden="1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hidden="1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hidden="1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hidden="1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hidden="1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hidden="1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hidden="1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hidden="1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hidden="1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hidden="1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hidden="1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hidden="1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hidden="1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hidden="1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hidden="1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hidden="1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hidden="1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hidden="1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hidden="1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hidden="1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hidden="1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hidden="1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hidden="1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hidden="1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hidden="1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hidden="1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hidden="1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hidden="1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hidden="1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hidden="1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hidden="1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hidden="1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hidden="1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hidden="1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hidden="1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hidden="1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hidden="1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hidden="1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hidden="1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hidden="1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hidden="1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hidden="1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hidden="1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hidden="1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hidden="1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hidden="1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hidden="1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hidden="1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hidden="1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hidden="1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hidden="1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hidden="1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hidden="1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hidden="1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hidden="1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hidden="1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hidden="1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hidden="1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hidden="1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hidden="1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hidden="1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hidden="1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hidden="1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hidden="1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hidden="1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hidden="1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hidden="1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hidden="1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hidden="1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hidden="1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hidden="1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hidden="1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hidden="1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hidden="1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hidden="1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hidden="1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hidden="1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hidden="1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hidden="1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hidden="1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hidden="1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hidden="1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hidden="1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hidden="1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hidden="1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hidden="1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hidden="1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hidden="1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hidden="1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hidden="1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hidden="1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hidden="1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hidden="1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hidden="1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hidden="1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hidden="1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hidden="1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hidden="1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hidden="1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hidden="1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hidden="1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hidden="1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hidden="1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hidden="1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hidden="1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hidden="1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hidden="1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hidden="1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hidden="1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hidden="1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hidden="1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hidden="1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hidden="1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hidden="1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hidden="1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hidden="1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hidden="1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hidden="1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hidden="1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hidden="1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hidden="1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hidden="1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hidden="1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hidden="1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hidden="1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hidden="1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hidden="1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hidden="1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hidden="1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hidden="1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hidden="1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hidden="1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hidden="1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hidden="1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hidden="1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hidden="1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hidden="1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hidden="1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hidden="1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hidden="1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hidden="1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hidden="1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hidden="1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hidden="1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hidden="1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hidden="1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hidden="1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hidden="1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hidden="1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hidden="1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hidden="1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hidden="1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hidden="1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hidden="1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hidden="1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hidden="1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hidden="1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hidden="1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hidden="1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hidden="1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hidden="1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hidden="1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hidden="1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hidden="1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hidden="1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hidden="1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hidden="1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hidden="1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hidden="1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hidden="1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hidden="1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hidden="1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hidden="1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hidden="1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hidden="1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hidden="1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hidden="1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hidden="1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hidden="1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hidden="1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hidden="1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hidden="1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hidden="1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hidden="1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hidden="1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hidden="1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hidden="1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hidden="1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hidden="1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hidden="1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hidden="1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hidden="1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hidden="1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hidden="1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hidden="1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hidden="1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hidden="1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hidden="1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hidden="1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hidden="1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hidden="1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hidden="1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hidden="1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hidden="1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hidden="1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hidden="1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hidden="1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hidden="1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hidden="1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hidden="1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hidden="1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hidden="1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hidden="1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hidden="1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hidden="1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hidden="1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hidden="1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hidden="1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hidden="1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hidden="1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hidden="1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hidden="1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hidden="1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hidden="1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hidden="1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hidden="1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hidden="1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hidden="1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hidden="1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hidden="1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hidden="1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hidden="1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hidden="1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hidden="1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hidden="1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hidden="1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hidden="1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hidden="1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hidden="1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hidden="1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hidden="1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hidden="1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hidden="1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hidden="1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hidden="1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hidden="1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hidden="1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hidden="1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hidden="1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hidden="1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hidden="1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hidden="1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hidden="1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hidden="1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hidden="1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hidden="1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hidden="1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hidden="1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hidden="1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hidden="1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hidden="1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hidden="1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hidden="1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hidden="1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hidden="1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hidden="1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hidden="1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hidden="1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hidden="1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hidden="1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hidden="1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hidden="1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hidden="1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hidden="1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hidden="1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hidden="1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hidden="1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hidden="1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hidden="1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hidden="1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hidden="1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hidden="1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hidden="1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hidden="1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hidden="1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hidden="1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hidden="1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hidden="1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hidden="1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hidden="1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hidden="1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hidden="1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hidden="1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hidden="1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hidden="1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hidden="1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hidden="1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hidden="1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hidden="1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hidden="1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hidden="1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hidden="1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hidden="1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hidden="1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hidden="1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hidden="1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hidden="1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hidden="1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hidden="1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hidden="1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hidden="1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hidden="1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hidden="1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hidden="1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hidden="1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hidden="1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hidden="1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hidden="1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hidden="1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hidden="1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hidden="1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hidden="1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hidden="1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hidden="1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hidden="1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hidden="1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hidden="1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hidden="1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hidden="1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hidden="1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hidden="1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hidden="1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hidden="1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hidden="1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hidden="1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hidden="1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hidden="1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hidden="1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hidden="1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hidden="1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hidden="1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hidden="1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hidden="1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hidden="1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hidden="1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hidden="1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hidden="1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hidden="1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hidden="1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hidden="1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hidden="1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hidden="1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hidden="1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hidden="1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autoFilter ref="$A$1:$K$2003">
    <filterColumn colId="3">
      <filters>
        <filter val="Compra"/>
      </filters>
    </filterColumn>
  </autoFilter>
  <customSheetViews>
    <customSheetView guid="{1EFE4587-3E6D-4B76-B40D-F3DCE638FB62}" filter="1" showAutoFilter="1">
      <autoFilter ref="$A$1:$K$2001">
        <filterColumn colId="3">
          <filters>
            <filter val="Compra"/>
          </filters>
        </filterColumn>
      </autoFilter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hidden="1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hidden="1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hidden="1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hidden="1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hidden="1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hidden="1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hidden="1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hidden="1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hidden="1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hidden="1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hidden="1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hidden="1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hidden="1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hidden="1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hidden="1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hidden="1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hidden="1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hidden="1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hidden="1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hidden="1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hidden="1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hidden="1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hidden="1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hidden="1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hidden="1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hidden="1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hidden="1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hidden="1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hidden="1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hidden="1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hidden="1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hidden="1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hidden="1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hidden="1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hidden="1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hidden="1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hidden="1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hidden="1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hidden="1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hidden="1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hidden="1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hidden="1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hidden="1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hidden="1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hidden="1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hidden="1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hidden="1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hidden="1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hidden="1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hidden="1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hidden="1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hidden="1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hidden="1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hidden="1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hidden="1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hidden="1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hidden="1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hidden="1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hidden="1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hidden="1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hidden="1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hidden="1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hidden="1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hidden="1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hidden="1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hidden="1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hidden="1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hidden="1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hidden="1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hidden="1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hidden="1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hidden="1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hidden="1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hidden="1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hidden="1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hidden="1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hidden="1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hidden="1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hidden="1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hidden="1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hidden="1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hidden="1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hidden="1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hidden="1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hidden="1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hidden="1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hidden="1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hidden="1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hidden="1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hidden="1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hidden="1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hidden="1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hidden="1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hidden="1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hidden="1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hidden="1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hidden="1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hidden="1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hidden="1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hidden="1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hidden="1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hidden="1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hidden="1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hidden="1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hidden="1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hidden="1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hidden="1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hidden="1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hidden="1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hidden="1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hidden="1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hidden="1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hidden="1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hidden="1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hidden="1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hidden="1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hidden="1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hidden="1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hidden="1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hidden="1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hidden="1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hidden="1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hidden="1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hidden="1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hidden="1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hidden="1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hidden="1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hidden="1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hidden="1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hidden="1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hidden="1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hidden="1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hidden="1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hidden="1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hidden="1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hidden="1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hidden="1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hidden="1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hidden="1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hidden="1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hidden="1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hidden="1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hidden="1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hidden="1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hidden="1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hidden="1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hidden="1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hidden="1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hidden="1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hidden="1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hidden="1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hidden="1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hidden="1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hidden="1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hidden="1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hidden="1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hidden="1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hidden="1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hidden="1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hidden="1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hidden="1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hidden="1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hidden="1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hidden="1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hidden="1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hidden="1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hidden="1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hidden="1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hidden="1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hidden="1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hidden="1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hidden="1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hidden="1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hidden="1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hidden="1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hidden="1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hidden="1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hidden="1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hidden="1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hidden="1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hidden="1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hidden="1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hidden="1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hidden="1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hidden="1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hidden="1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hidden="1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hidden="1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hidden="1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hidden="1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hidden="1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hidden="1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hidden="1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hidden="1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hidden="1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hidden="1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hidden="1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hidden="1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hidden="1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hidden="1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hidden="1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hidden="1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hidden="1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hidden="1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hidden="1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hidden="1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hidden="1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hidden="1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hidden="1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hidden="1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hidden="1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hidden="1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hidden="1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hidden="1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hidden="1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hidden="1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hidden="1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hidden="1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hidden="1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hidden="1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hidden="1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hidden="1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hidden="1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hidden="1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hidden="1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hidden="1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hidden="1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hidden="1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hidden="1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hidden="1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hidden="1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hidden="1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hidden="1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hidden="1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hidden="1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hidden="1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hidden="1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hidden="1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hidden="1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hidden="1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hidden="1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hidden="1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hidden="1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hidden="1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hidden="1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hidden="1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hidden="1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hidden="1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hidden="1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hidden="1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hidden="1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hidden="1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hidden="1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hidden="1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hidden="1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hidden="1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hidden="1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hidden="1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hidden="1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hidden="1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hidden="1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hidden="1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hidden="1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hidden="1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hidden="1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hidden="1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hidden="1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hidden="1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hidden="1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hidden="1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hidden="1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hidden="1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hidden="1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hidden="1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hidden="1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hidden="1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hidden="1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hidden="1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hidden="1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hidden="1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hidden="1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hidden="1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hidden="1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hidden="1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hidden="1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hidden="1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hidden="1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hidden="1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hidden="1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hidden="1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hidden="1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hidden="1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hidden="1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hidden="1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hidden="1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hidden="1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hidden="1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hidden="1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hidden="1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hidden="1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hidden="1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hidden="1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hidden="1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hidden="1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hidden="1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hidden="1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hidden="1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hidden="1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hidden="1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hidden="1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hidden="1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hidden="1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hidden="1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hidden="1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hidden="1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hidden="1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hidden="1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hidden="1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hidden="1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hidden="1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hidden="1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hidden="1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hidden="1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hidden="1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hidden="1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hidden="1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hidden="1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hidden="1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hidden="1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hidden="1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hidden="1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hidden="1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hidden="1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hidden="1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hidden="1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hidden="1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hidden="1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hidden="1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hidden="1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hidden="1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hidden="1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hidden="1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hidden="1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hidden="1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hidden="1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hidden="1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hidden="1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hidden="1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hidden="1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hidden="1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hidden="1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hidden="1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hidden="1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hidden="1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hidden="1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hidden="1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hidden="1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hidden="1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hidden="1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hidden="1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hidden="1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hidden="1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hidden="1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hidden="1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hidden="1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hidden="1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hidden="1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hidden="1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hidden="1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hidden="1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hidden="1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hidden="1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hidden="1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hidden="1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hidden="1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hidden="1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hidden="1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hidden="1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hidden="1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hidden="1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hidden="1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hidden="1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hidden="1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hidden="1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hidden="1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hidden="1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hidden="1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hidden="1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hidden="1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hidden="1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hidden="1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hidden="1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hidden="1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hidden="1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hidden="1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hidden="1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hidden="1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hidden="1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hidden="1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hidden="1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hidden="1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hidden="1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hidden="1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hidden="1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hidden="1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hidden="1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hidden="1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hidden="1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hidden="1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hidden="1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hidden="1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hidden="1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hidden="1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hidden="1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hidden="1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hidden="1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hidden="1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hidden="1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hidden="1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hidden="1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hidden="1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hidden="1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hidden="1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hidden="1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hidden="1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hidden="1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hidden="1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hidden="1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hidden="1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hidden="1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hidden="1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hidden="1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hidden="1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hidden="1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hidden="1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hidden="1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hidden="1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hidden="1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hidden="1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hidden="1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hidden="1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hidden="1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hidden="1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hidden="1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hidden="1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hidden="1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hidden="1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hidden="1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hidden="1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hidden="1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hidden="1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hidden="1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hidden="1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hidden="1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hidden="1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hidden="1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hidden="1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hidden="1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hidden="1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hidden="1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hidden="1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hidden="1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hidden="1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hidden="1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hidden="1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hidden="1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hidden="1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hidden="1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hidden="1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hidden="1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hidden="1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hidden="1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hidden="1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hidden="1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hidden="1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hidden="1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hidden="1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hidden="1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hidden="1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hidden="1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hidden="1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hidden="1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hidden="1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hidden="1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hidden="1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hidden="1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hidden="1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hidden="1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hidden="1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hidden="1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hidden="1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hidden="1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hidden="1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hidden="1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hidden="1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hidden="1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hidden="1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hidden="1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hidden="1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hidden="1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hidden="1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hidden="1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hidden="1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hidden="1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hidden="1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hidden="1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hidden="1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hidden="1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hidden="1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hidden="1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hidden="1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hidden="1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hidden="1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hidden="1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hidden="1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hidden="1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hidden="1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hidden="1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hidden="1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hidden="1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hidden="1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hidden="1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hidden="1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hidden="1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hidden="1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hidden="1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hidden="1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hidden="1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hidden="1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hidden="1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hidden="1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hidden="1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hidden="1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hidden="1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hidden="1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hidden="1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hidden="1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hidden="1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hidden="1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hidden="1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hidden="1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hidden="1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hidden="1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hidden="1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hidden="1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hidden="1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hidden="1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hidden="1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hidden="1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hidden="1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hidden="1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hidden="1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hidden="1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hidden="1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hidden="1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hidden="1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hidden="1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hidden="1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hidden="1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hidden="1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hidden="1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hidden="1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hidden="1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hidden="1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hidden="1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hidden="1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hidden="1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hidden="1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hidden="1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hidden="1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hidden="1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hidden="1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hidden="1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hidden="1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hidden="1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hidden="1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hidden="1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hidden="1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hidden="1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hidden="1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hidden="1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hidden="1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hidden="1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hidden="1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hidden="1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hidden="1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hidden="1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hidden="1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hidden="1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hidden="1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hidden="1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hidden="1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hidden="1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hidden="1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hidden="1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hidden="1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hidden="1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hidden="1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hidden="1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hidden="1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hidden="1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hidden="1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hidden="1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hidden="1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hidden="1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hidden="1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hidden="1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hidden="1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hidden="1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hidden="1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hidden="1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hidden="1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hidden="1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hidden="1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hidden="1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hidden="1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hidden="1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hidden="1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hidden="1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hidden="1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hidden="1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hidden="1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hidden="1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hidden="1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hidden="1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hidden="1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hidden="1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hidden="1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hidden="1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hidden="1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hidden="1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hidden="1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hidden="1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hidden="1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hidden="1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hidden="1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hidden="1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hidden="1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hidden="1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hidden="1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hidden="1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hidden="1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hidden="1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hidden="1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hidden="1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hidden="1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hidden="1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hidden="1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hidden="1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hidden="1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hidden="1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hidden="1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hidden="1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hidden="1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hidden="1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hidden="1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hidden="1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hidden="1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hidden="1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hidden="1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hidden="1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hidden="1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hidden="1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hidden="1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hidden="1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hidden="1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hidden="1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hidden="1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hidden="1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hidden="1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hidden="1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hidden="1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hidden="1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hidden="1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hidden="1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hidden="1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hidden="1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hidden="1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hidden="1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hidden="1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hidden="1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hidden="1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hidden="1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hidden="1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hidden="1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hidden="1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hidden="1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hidden="1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hidden="1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hidden="1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hidden="1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hidden="1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hidden="1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hidden="1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hidden="1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hidden="1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hidden="1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hidden="1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hidden="1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hidden="1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hidden="1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hidden="1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hidden="1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hidden="1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hidden="1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hidden="1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hidden="1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hidden="1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hidden="1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hidden="1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hidden="1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hidden="1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hidden="1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hidden="1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hidden="1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hidden="1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hidden="1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hidden="1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hidden="1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hidden="1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hidden="1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hidden="1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hidden="1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hidden="1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hidden="1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hidden="1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hidden="1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hidden="1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hidden="1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hidden="1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hidden="1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hidden="1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hidden="1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hidden="1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hidden="1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hidden="1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hidden="1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hidden="1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hidden="1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hidden="1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hidden="1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hidden="1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hidden="1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hidden="1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hidden="1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hidden="1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hidden="1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hidden="1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hidden="1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hidden="1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hidden="1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hidden="1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hidden="1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hidden="1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hidden="1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hidden="1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hidden="1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hidden="1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hidden="1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hidden="1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hidden="1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hidden="1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hidden="1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hidden="1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hidden="1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hidden="1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hidden="1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hidden="1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hidden="1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hidden="1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hidden="1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hidden="1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hidden="1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hidden="1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hidden="1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hidden="1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hidden="1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hidden="1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hidden="1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hidden="1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hidden="1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hidden="1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hidden="1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hidden="1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hidden="1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hidden="1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hidden="1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hidden="1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hidden="1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hidden="1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hidden="1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hidden="1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hidden="1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hidden="1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hidden="1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hidden="1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hidden="1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hidden="1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hidden="1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hidden="1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hidden="1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hidden="1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hidden="1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hidden="1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hidden="1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hidden="1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hidden="1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hidden="1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hidden="1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hidden="1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hidden="1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hidden="1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hidden="1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hidden="1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hidden="1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hidden="1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hidden="1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hidden="1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hidden="1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hidden="1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hidden="1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hidden="1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hidden="1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hidden="1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hidden="1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hidden="1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hidden="1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hidden="1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hidden="1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hidden="1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hidden="1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hidden="1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hidden="1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hidden="1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hidden="1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hidden="1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hidden="1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hidden="1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hidden="1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hidden="1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hidden="1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hidden="1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hidden="1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hidden="1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hidden="1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hidden="1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hidden="1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hidden="1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hidden="1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hidden="1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hidden="1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hidden="1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hidden="1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hidden="1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hidden="1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hidden="1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hidden="1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hidden="1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hidden="1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hidden="1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hidden="1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hidden="1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hidden="1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hidden="1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hidden="1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hidden="1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hidden="1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hidden="1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hidden="1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hidden="1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hidden="1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hidden="1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hidden="1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hidden="1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hidden="1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hidden="1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hidden="1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hidden="1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hidden="1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hidden="1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hidden="1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hidden="1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hidden="1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hidden="1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hidden="1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hidden="1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hidden="1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hidden="1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hidden="1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hidden="1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hidden="1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hidden="1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hidden="1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hidden="1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hidden="1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hidden="1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hidden="1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hidden="1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hidden="1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hidden="1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hidden="1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hidden="1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hidden="1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hidden="1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hidden="1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hidden="1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hidden="1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hidden="1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hidden="1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hidden="1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hidden="1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hidden="1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hidden="1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hidden="1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hidden="1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hidden="1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hidden="1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hidden="1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hidden="1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hidden="1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hidden="1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hidden="1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hidden="1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hidden="1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hidden="1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hidden="1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hidden="1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hidden="1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hidden="1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hidden="1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hidden="1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hidden="1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hidden="1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hidden="1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hidden="1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hidden="1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hidden="1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hidden="1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hidden="1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hidden="1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hidden="1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hidden="1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hidden="1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hidden="1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hidden="1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hidden="1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hidden="1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hidden="1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hidden="1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hidden="1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hidden="1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hidden="1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hidden="1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hidden="1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hidden="1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hidden="1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hidden="1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hidden="1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hidden="1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hidden="1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hidden="1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hidden="1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hidden="1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hidden="1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hidden="1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hidden="1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hidden="1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hidden="1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hidden="1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hidden="1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hidden="1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hidden="1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hidden="1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hidden="1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hidden="1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hidden="1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hidden="1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hidden="1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hidden="1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hidden="1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hidden="1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hidden="1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hidden="1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hidden="1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hidden="1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hidden="1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hidden="1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hidden="1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hidden="1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hidden="1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hidden="1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hidden="1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hidden="1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hidden="1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hidden="1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hidden="1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hidden="1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hidden="1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hidden="1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hidden="1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hidden="1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hidden="1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hidden="1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hidden="1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hidden="1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hidden="1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hidden="1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hidden="1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hidden="1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hidden="1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hidden="1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hidden="1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hidden="1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hidden="1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hidden="1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hidden="1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hidden="1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hidden="1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autoFilter ref="$A$1:$K$2001">
    <filterColumn colId="3">
      <filters>
        <filter val="Venda"/>
      </filters>
    </filterColumn>
  </autoFilter>
  <customSheetViews>
    <customSheetView guid="{32B56D93-D26E-414E-BEFC-A60ECE573753}" filter="1" showAutoFilter="1">
      <autoFilter ref="$A$1:$K$2000">
        <filterColumn colId="3">
          <filters>
            <filter val="Venda"/>
          </filters>
        </filterColumn>
      </autoFilter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18.75"/>
  </cols>
  <sheetData>
    <row r="1">
      <c r="B1" s="48" t="s">
        <v>227</v>
      </c>
      <c r="C1" s="49"/>
      <c r="E1" s="50"/>
      <c r="F1" s="50"/>
      <c r="G1" s="50"/>
    </row>
    <row r="2">
      <c r="B2" s="51" t="s">
        <v>228</v>
      </c>
      <c r="C2" s="52">
        <f>SUM(mercado_acoes!F:F)</f>
        <v>50905.24</v>
      </c>
      <c r="E2" s="32"/>
      <c r="F2" s="32"/>
      <c r="G2" s="32"/>
    </row>
    <row r="3">
      <c r="B3" s="51" t="s">
        <v>229</v>
      </c>
      <c r="C3" s="52">
        <f>MIN(mercado_acoes!F:F)</f>
        <v>1.3</v>
      </c>
      <c r="E3" s="32"/>
      <c r="F3" s="32"/>
      <c r="G3" s="32"/>
    </row>
    <row r="4">
      <c r="B4" s="51" t="s">
        <v>230</v>
      </c>
      <c r="C4" s="52">
        <f>MAX(mercado_acoes!F:F)</f>
        <v>80.28</v>
      </c>
      <c r="E4" s="32"/>
      <c r="F4" s="32"/>
      <c r="G4" s="32"/>
    </row>
    <row r="5">
      <c r="B5" s="51" t="s">
        <v>231</v>
      </c>
      <c r="C5" s="52">
        <f>AVERAGE(mercado_acoes!F:F)</f>
        <v>25.45262</v>
      </c>
      <c r="E5" s="32"/>
      <c r="F5" s="32"/>
      <c r="G5" s="32"/>
    </row>
    <row r="6">
      <c r="B6" s="51" t="s">
        <v>232</v>
      </c>
      <c r="C6" s="52">
        <f>MEDIAN(mercado_acoes!F:F)</f>
        <v>19.245</v>
      </c>
      <c r="E6" s="32"/>
      <c r="F6" s="32"/>
      <c r="G6" s="32"/>
    </row>
    <row r="7">
      <c r="B7" s="51" t="s">
        <v>233</v>
      </c>
      <c r="C7" s="52">
        <f>MODE(mercado_acoes!F:F)</f>
        <v>10.71</v>
      </c>
      <c r="E7" s="32"/>
      <c r="F7" s="32"/>
      <c r="G7" s="32"/>
    </row>
    <row r="8">
      <c r="B8" s="51" t="s">
        <v>234</v>
      </c>
      <c r="C8" s="52">
        <f t="shared" ref="C8:C9" si="1">STDEV(C2:C7)</f>
        <v>20770.81064</v>
      </c>
    </row>
    <row r="9">
      <c r="B9" s="53" t="s">
        <v>235</v>
      </c>
      <c r="C9" s="54">
        <f t="shared" si="1"/>
        <v>8468.508124</v>
      </c>
      <c r="D9" s="50"/>
    </row>
    <row r="10">
      <c r="B10" s="55"/>
      <c r="C10" s="56"/>
      <c r="D10" s="32"/>
    </row>
    <row r="11">
      <c r="B11" s="57"/>
      <c r="C11" s="58"/>
      <c r="D11" s="32"/>
    </row>
    <row r="12">
      <c r="B12" s="50"/>
      <c r="C12" s="32"/>
      <c r="D12" s="32"/>
    </row>
    <row r="13">
      <c r="B13" s="59"/>
      <c r="C13" s="60"/>
    </row>
    <row r="14">
      <c r="B14" s="60"/>
      <c r="C14" s="60"/>
    </row>
    <row r="15">
      <c r="B15" s="60"/>
      <c r="C15" s="60"/>
    </row>
    <row r="16">
      <c r="B16" s="60"/>
      <c r="C16" s="60"/>
    </row>
    <row r="17">
      <c r="B17" s="61" t="s">
        <v>236</v>
      </c>
      <c r="C17" s="61" t="s">
        <v>237</v>
      </c>
      <c r="D17" s="62" t="s">
        <v>238</v>
      </c>
      <c r="E17" s="63"/>
      <c r="F17" s="49"/>
    </row>
    <row r="18">
      <c r="B18" s="64">
        <v>50.0</v>
      </c>
      <c r="C18" s="65" t="str">
        <f>VLOOKUP(B18,mercado_acoes!A:B,2,FALSE)</f>
        <v>Camila Rocha</v>
      </c>
      <c r="D18" s="66" t="str">
        <f>VLOOKUP(C18,mercado_acoes!B:C,2,FALSE)</f>
        <v>camila.rocha10@exemplo.com</v>
      </c>
      <c r="E18" s="63"/>
      <c r="F18" s="49"/>
    </row>
    <row r="19">
      <c r="B19" s="64">
        <v>5.0</v>
      </c>
      <c r="C19" s="65" t="str">
        <f>VLOOKUP(B19,mercado_acoes!A:B,2,FALSE)</f>
        <v>Bruno Rodrigues</v>
      </c>
      <c r="D19" s="66" t="str">
        <f>VLOOKUP(C19,mercado_acoes!B:C,2,FALSE)</f>
        <v>bruno.rodrigues89@exemplo.com</v>
      </c>
      <c r="E19" s="63"/>
      <c r="F19" s="49"/>
    </row>
    <row r="20">
      <c r="B20" s="64">
        <v>50.0</v>
      </c>
      <c r="C20" s="65" t="str">
        <f>VLOOKUP(B20,mercado_acoes!A:B,2,FALSE)</f>
        <v>Camila Rocha</v>
      </c>
      <c r="D20" s="66" t="str">
        <f>VLOOKUP(C20,mercado_acoes!B:C,2,FALSE)</f>
        <v>camila.rocha10@exemplo.com</v>
      </c>
      <c r="E20" s="63"/>
      <c r="F20" s="49"/>
    </row>
    <row r="21">
      <c r="B21" s="60"/>
      <c r="C21" s="60"/>
    </row>
    <row r="22">
      <c r="B22" s="60"/>
      <c r="C22" s="60"/>
    </row>
    <row r="23">
      <c r="B23" s="60"/>
      <c r="C23" s="60"/>
    </row>
    <row r="24">
      <c r="B24" s="60"/>
      <c r="C24" s="60"/>
    </row>
    <row r="25">
      <c r="B25" s="60"/>
      <c r="C25" s="60"/>
    </row>
    <row r="26">
      <c r="B26" s="60"/>
      <c r="C26" s="60"/>
    </row>
    <row r="27">
      <c r="B27" s="60"/>
      <c r="C27" s="60"/>
    </row>
    <row r="28">
      <c r="B28" s="60"/>
      <c r="C28" s="60"/>
    </row>
    <row r="29">
      <c r="B29" s="60"/>
      <c r="C29" s="60"/>
    </row>
    <row r="30">
      <c r="B30" s="60"/>
      <c r="C30" s="60"/>
    </row>
    <row r="31">
      <c r="B31" s="60"/>
      <c r="C31" s="60"/>
    </row>
    <row r="32">
      <c r="B32" s="60"/>
      <c r="C32" s="60"/>
    </row>
    <row r="33">
      <c r="B33" s="60"/>
      <c r="C33" s="60"/>
    </row>
    <row r="34">
      <c r="B34" s="60"/>
      <c r="C34" s="60"/>
    </row>
    <row r="35">
      <c r="B35" s="60"/>
      <c r="C35" s="60"/>
    </row>
    <row r="36">
      <c r="B36" s="60"/>
      <c r="C36" s="60"/>
    </row>
    <row r="37">
      <c r="B37" s="60"/>
      <c r="C37" s="60"/>
    </row>
    <row r="38">
      <c r="B38" s="60"/>
      <c r="C38" s="60"/>
    </row>
    <row r="39">
      <c r="B39" s="60"/>
      <c r="C39" s="60"/>
    </row>
    <row r="40">
      <c r="B40" s="60"/>
      <c r="C40" s="60"/>
    </row>
    <row r="41">
      <c r="B41" s="60"/>
      <c r="C41" s="60"/>
    </row>
    <row r="42">
      <c r="B42" s="60"/>
      <c r="C42" s="60"/>
    </row>
    <row r="43">
      <c r="B43" s="60"/>
      <c r="C43" s="60"/>
    </row>
    <row r="44">
      <c r="B44" s="60"/>
      <c r="C44" s="60"/>
    </row>
    <row r="45">
      <c r="B45" s="60"/>
      <c r="C45" s="60"/>
    </row>
    <row r="46">
      <c r="B46" s="60"/>
      <c r="C46" s="60"/>
    </row>
    <row r="47">
      <c r="B47" s="60"/>
      <c r="C47" s="60"/>
    </row>
    <row r="48">
      <c r="B48" s="60"/>
      <c r="C48" s="60"/>
    </row>
    <row r="49">
      <c r="B49" s="60"/>
      <c r="C49" s="60"/>
    </row>
    <row r="50">
      <c r="B50" s="60"/>
      <c r="C50" s="60"/>
    </row>
    <row r="51">
      <c r="B51" s="60"/>
      <c r="C51" s="60"/>
    </row>
    <row r="52">
      <c r="B52" s="60"/>
      <c r="C52" s="60"/>
    </row>
    <row r="53">
      <c r="B53" s="60"/>
      <c r="C53" s="60"/>
    </row>
    <row r="54">
      <c r="B54" s="60"/>
      <c r="C54" s="60"/>
    </row>
    <row r="55">
      <c r="B55" s="60"/>
      <c r="C55" s="60"/>
    </row>
    <row r="56">
      <c r="B56" s="60"/>
      <c r="C56" s="60"/>
    </row>
    <row r="57">
      <c r="B57" s="60"/>
      <c r="C57" s="60"/>
    </row>
    <row r="58">
      <c r="B58" s="60"/>
      <c r="C58" s="60"/>
    </row>
    <row r="59">
      <c r="B59" s="60"/>
      <c r="C59" s="60"/>
    </row>
    <row r="60">
      <c r="B60" s="60"/>
      <c r="C60" s="60"/>
    </row>
    <row r="61">
      <c r="B61" s="60"/>
      <c r="C61" s="60"/>
    </row>
    <row r="62">
      <c r="B62" s="60"/>
      <c r="C62" s="60"/>
    </row>
    <row r="63">
      <c r="B63" s="60"/>
      <c r="C63" s="60"/>
    </row>
    <row r="64">
      <c r="B64" s="60"/>
      <c r="C64" s="60"/>
    </row>
    <row r="65">
      <c r="B65" s="60"/>
      <c r="C65" s="60"/>
    </row>
    <row r="66">
      <c r="B66" s="60"/>
      <c r="C66" s="60"/>
    </row>
    <row r="67">
      <c r="B67" s="60"/>
      <c r="C67" s="60"/>
    </row>
    <row r="68">
      <c r="B68" s="60"/>
      <c r="C68" s="60"/>
    </row>
    <row r="69">
      <c r="B69" s="60"/>
      <c r="C69" s="60"/>
    </row>
    <row r="70">
      <c r="B70" s="60"/>
      <c r="C70" s="60"/>
    </row>
    <row r="71">
      <c r="B71" s="60"/>
      <c r="C71" s="60"/>
    </row>
    <row r="72">
      <c r="B72" s="60"/>
      <c r="C72" s="60"/>
    </row>
    <row r="73">
      <c r="B73" s="60"/>
      <c r="C73" s="60"/>
    </row>
    <row r="74">
      <c r="B74" s="60"/>
      <c r="C74" s="60"/>
    </row>
    <row r="75">
      <c r="B75" s="60"/>
      <c r="C75" s="60"/>
    </row>
    <row r="76">
      <c r="B76" s="60"/>
      <c r="C76" s="60"/>
    </row>
    <row r="77">
      <c r="B77" s="60"/>
      <c r="C77" s="60"/>
    </row>
    <row r="78">
      <c r="B78" s="60"/>
      <c r="C78" s="60"/>
    </row>
    <row r="79">
      <c r="B79" s="60"/>
      <c r="C79" s="60"/>
    </row>
    <row r="80">
      <c r="B80" s="60"/>
      <c r="C80" s="60"/>
    </row>
    <row r="81">
      <c r="B81" s="60"/>
      <c r="C81" s="60"/>
    </row>
    <row r="82">
      <c r="B82" s="60"/>
      <c r="C82" s="60"/>
    </row>
    <row r="83">
      <c r="B83" s="60"/>
      <c r="C83" s="60"/>
    </row>
    <row r="84">
      <c r="B84" s="60"/>
      <c r="C84" s="60"/>
    </row>
    <row r="85">
      <c r="B85" s="60"/>
      <c r="C85" s="60"/>
    </row>
    <row r="86">
      <c r="B86" s="60"/>
      <c r="C86" s="60"/>
    </row>
    <row r="87">
      <c r="B87" s="60"/>
      <c r="C87" s="60"/>
    </row>
    <row r="88">
      <c r="B88" s="60"/>
      <c r="C88" s="60"/>
    </row>
    <row r="89">
      <c r="B89" s="60"/>
      <c r="C89" s="60"/>
    </row>
    <row r="90">
      <c r="B90" s="60"/>
      <c r="C90" s="60"/>
    </row>
    <row r="91">
      <c r="B91" s="60"/>
      <c r="C91" s="60"/>
    </row>
    <row r="92">
      <c r="B92" s="60"/>
      <c r="C92" s="60"/>
    </row>
    <row r="93">
      <c r="B93" s="60"/>
      <c r="C93" s="60"/>
    </row>
    <row r="94">
      <c r="B94" s="60"/>
      <c r="C94" s="60"/>
    </row>
    <row r="95">
      <c r="B95" s="60"/>
      <c r="C95" s="60"/>
    </row>
    <row r="96">
      <c r="B96" s="60"/>
      <c r="C96" s="60"/>
    </row>
    <row r="97">
      <c r="B97" s="60"/>
      <c r="C97" s="60"/>
    </row>
    <row r="98">
      <c r="B98" s="60"/>
      <c r="C98" s="60"/>
    </row>
    <row r="99">
      <c r="B99" s="60"/>
      <c r="C99" s="60"/>
    </row>
    <row r="100">
      <c r="B100" s="60"/>
      <c r="C100" s="60"/>
    </row>
    <row r="101">
      <c r="B101" s="60"/>
      <c r="C101" s="60"/>
    </row>
    <row r="102">
      <c r="B102" s="60"/>
      <c r="C102" s="60"/>
    </row>
    <row r="103">
      <c r="B103" s="60"/>
      <c r="C103" s="60"/>
    </row>
    <row r="104">
      <c r="B104" s="60"/>
      <c r="C104" s="60"/>
    </row>
    <row r="105">
      <c r="B105" s="60"/>
      <c r="C105" s="60"/>
    </row>
    <row r="106">
      <c r="B106" s="60"/>
      <c r="C106" s="60"/>
    </row>
    <row r="107">
      <c r="B107" s="60"/>
      <c r="C107" s="60"/>
    </row>
    <row r="108">
      <c r="B108" s="60"/>
      <c r="C108" s="60"/>
    </row>
    <row r="109">
      <c r="B109" s="60"/>
      <c r="C109" s="60"/>
    </row>
    <row r="110">
      <c r="B110" s="60"/>
      <c r="C110" s="60"/>
    </row>
    <row r="111">
      <c r="B111" s="60"/>
      <c r="C111" s="60"/>
    </row>
    <row r="112">
      <c r="B112" s="60"/>
      <c r="C112" s="60"/>
    </row>
    <row r="113">
      <c r="B113" s="60"/>
      <c r="C113" s="60"/>
    </row>
    <row r="114">
      <c r="B114" s="60"/>
      <c r="C114" s="60"/>
    </row>
    <row r="115">
      <c r="B115" s="60"/>
      <c r="C115" s="60"/>
    </row>
    <row r="116">
      <c r="B116" s="60"/>
      <c r="C116" s="60"/>
    </row>
    <row r="117">
      <c r="B117" s="60"/>
      <c r="C117" s="60"/>
    </row>
    <row r="118">
      <c r="B118" s="60"/>
      <c r="C118" s="60"/>
    </row>
    <row r="119">
      <c r="B119" s="60"/>
      <c r="C119" s="60"/>
    </row>
    <row r="120">
      <c r="B120" s="60"/>
      <c r="C120" s="60"/>
    </row>
    <row r="121">
      <c r="B121" s="60"/>
      <c r="C121" s="60"/>
    </row>
    <row r="122">
      <c r="B122" s="60"/>
      <c r="C122" s="60"/>
    </row>
    <row r="123">
      <c r="B123" s="60"/>
      <c r="C123" s="60"/>
    </row>
    <row r="124">
      <c r="B124" s="60"/>
      <c r="C124" s="60"/>
    </row>
    <row r="125">
      <c r="B125" s="60"/>
      <c r="C125" s="60"/>
    </row>
    <row r="126">
      <c r="B126" s="60"/>
      <c r="C126" s="60"/>
    </row>
    <row r="127">
      <c r="B127" s="60"/>
      <c r="C127" s="60"/>
    </row>
    <row r="128">
      <c r="B128" s="60"/>
      <c r="C128" s="60"/>
    </row>
    <row r="129">
      <c r="B129" s="60"/>
      <c r="C129" s="60"/>
    </row>
    <row r="130">
      <c r="B130" s="60"/>
      <c r="C130" s="60"/>
    </row>
    <row r="131">
      <c r="B131" s="60"/>
      <c r="C131" s="60"/>
    </row>
    <row r="132">
      <c r="B132" s="60"/>
      <c r="C132" s="60"/>
    </row>
    <row r="133">
      <c r="B133" s="60"/>
      <c r="C133" s="60"/>
    </row>
    <row r="134">
      <c r="B134" s="60"/>
      <c r="C134" s="60"/>
    </row>
    <row r="135">
      <c r="B135" s="60"/>
      <c r="C135" s="60"/>
    </row>
    <row r="136">
      <c r="B136" s="60"/>
      <c r="C136" s="60"/>
    </row>
    <row r="137">
      <c r="B137" s="60"/>
      <c r="C137" s="60"/>
    </row>
    <row r="138">
      <c r="B138" s="60"/>
      <c r="C138" s="60"/>
    </row>
    <row r="139">
      <c r="B139" s="60"/>
      <c r="C139" s="60"/>
    </row>
    <row r="140">
      <c r="B140" s="60"/>
      <c r="C140" s="60"/>
    </row>
    <row r="141">
      <c r="B141" s="60"/>
      <c r="C141" s="60"/>
    </row>
    <row r="142">
      <c r="B142" s="60"/>
      <c r="C142" s="60"/>
    </row>
    <row r="143">
      <c r="B143" s="60"/>
      <c r="C143" s="60"/>
    </row>
    <row r="144">
      <c r="B144" s="60"/>
      <c r="C144" s="60"/>
    </row>
    <row r="145">
      <c r="B145" s="60"/>
      <c r="C145" s="60"/>
    </row>
    <row r="146">
      <c r="B146" s="60"/>
      <c r="C146" s="60"/>
    </row>
    <row r="147">
      <c r="B147" s="60"/>
      <c r="C147" s="60"/>
    </row>
    <row r="148">
      <c r="B148" s="60"/>
      <c r="C148" s="60"/>
    </row>
    <row r="149">
      <c r="B149" s="60"/>
      <c r="C149" s="60"/>
    </row>
    <row r="150">
      <c r="B150" s="60"/>
      <c r="C150" s="60"/>
    </row>
    <row r="151">
      <c r="B151" s="60"/>
      <c r="C151" s="60"/>
    </row>
    <row r="152">
      <c r="B152" s="60"/>
      <c r="C152" s="60"/>
    </row>
    <row r="153">
      <c r="B153" s="60"/>
      <c r="C153" s="60"/>
    </row>
    <row r="154">
      <c r="B154" s="60"/>
      <c r="C154" s="60"/>
    </row>
    <row r="155">
      <c r="B155" s="60"/>
      <c r="C155" s="60"/>
    </row>
    <row r="156">
      <c r="B156" s="60"/>
      <c r="C156" s="60"/>
    </row>
    <row r="157">
      <c r="B157" s="60"/>
      <c r="C157" s="60"/>
    </row>
    <row r="158">
      <c r="B158" s="60"/>
      <c r="C158" s="60"/>
    </row>
    <row r="159">
      <c r="B159" s="60"/>
      <c r="C159" s="60"/>
    </row>
    <row r="160">
      <c r="B160" s="60"/>
      <c r="C160" s="60"/>
    </row>
    <row r="161">
      <c r="B161" s="60"/>
      <c r="C161" s="60"/>
    </row>
    <row r="162">
      <c r="B162" s="60"/>
      <c r="C162" s="60"/>
    </row>
    <row r="163">
      <c r="B163" s="60"/>
      <c r="C163" s="60"/>
    </row>
    <row r="164">
      <c r="B164" s="60"/>
      <c r="C164" s="60"/>
    </row>
    <row r="165">
      <c r="B165" s="60"/>
      <c r="C165" s="60"/>
    </row>
    <row r="166">
      <c r="B166" s="60"/>
      <c r="C166" s="60"/>
    </row>
    <row r="167">
      <c r="B167" s="60"/>
      <c r="C167" s="60"/>
    </row>
    <row r="168">
      <c r="B168" s="60"/>
      <c r="C168" s="60"/>
    </row>
    <row r="169">
      <c r="B169" s="60"/>
      <c r="C169" s="60"/>
    </row>
    <row r="170">
      <c r="B170" s="60"/>
      <c r="C170" s="60"/>
    </row>
    <row r="171">
      <c r="B171" s="60"/>
      <c r="C171" s="60"/>
    </row>
    <row r="172">
      <c r="B172" s="60"/>
      <c r="C172" s="60"/>
    </row>
    <row r="173">
      <c r="B173" s="60"/>
      <c r="C173" s="60"/>
    </row>
    <row r="174">
      <c r="B174" s="60"/>
      <c r="C174" s="60"/>
    </row>
    <row r="175">
      <c r="B175" s="60"/>
      <c r="C175" s="60"/>
    </row>
    <row r="176">
      <c r="B176" s="60"/>
      <c r="C176" s="60"/>
    </row>
    <row r="177">
      <c r="B177" s="60"/>
      <c r="C177" s="60"/>
    </row>
    <row r="178">
      <c r="B178" s="60"/>
      <c r="C178" s="60"/>
    </row>
    <row r="179">
      <c r="B179" s="60"/>
      <c r="C179" s="60"/>
    </row>
    <row r="180">
      <c r="B180" s="60"/>
      <c r="C180" s="60"/>
    </row>
    <row r="181">
      <c r="B181" s="60"/>
      <c r="C181" s="60"/>
    </row>
    <row r="182">
      <c r="B182" s="60"/>
      <c r="C182" s="60"/>
    </row>
    <row r="183">
      <c r="B183" s="60"/>
      <c r="C183" s="60"/>
    </row>
    <row r="184">
      <c r="B184" s="60"/>
      <c r="C184" s="60"/>
    </row>
    <row r="185">
      <c r="B185" s="60"/>
      <c r="C185" s="60"/>
    </row>
    <row r="186">
      <c r="B186" s="60"/>
      <c r="C186" s="60"/>
    </row>
    <row r="187">
      <c r="B187" s="60"/>
      <c r="C187" s="60"/>
    </row>
    <row r="188">
      <c r="B188" s="60"/>
      <c r="C188" s="60"/>
    </row>
    <row r="189">
      <c r="B189" s="60"/>
      <c r="C189" s="60"/>
    </row>
    <row r="190">
      <c r="B190" s="60"/>
      <c r="C190" s="60"/>
    </row>
    <row r="191">
      <c r="B191" s="60"/>
      <c r="C191" s="60"/>
    </row>
    <row r="192">
      <c r="B192" s="60"/>
      <c r="C192" s="60"/>
    </row>
    <row r="193">
      <c r="B193" s="60"/>
      <c r="C193" s="60"/>
    </row>
    <row r="194">
      <c r="B194" s="60"/>
      <c r="C194" s="60"/>
    </row>
    <row r="195">
      <c r="B195" s="60"/>
      <c r="C195" s="60"/>
    </row>
    <row r="196">
      <c r="B196" s="60"/>
      <c r="C196" s="60"/>
    </row>
    <row r="197">
      <c r="B197" s="60"/>
      <c r="C197" s="60"/>
    </row>
    <row r="198">
      <c r="B198" s="60"/>
      <c r="C198" s="60"/>
    </row>
    <row r="199">
      <c r="B199" s="60"/>
      <c r="C199" s="60"/>
    </row>
    <row r="200">
      <c r="B200" s="60"/>
      <c r="C200" s="60"/>
    </row>
    <row r="201">
      <c r="B201" s="60"/>
      <c r="C201" s="60"/>
    </row>
    <row r="202">
      <c r="B202" s="60"/>
      <c r="C202" s="60"/>
    </row>
    <row r="203">
      <c r="B203" s="60"/>
      <c r="C203" s="60"/>
    </row>
    <row r="204">
      <c r="B204" s="60"/>
      <c r="C204" s="60"/>
    </row>
    <row r="205">
      <c r="B205" s="60"/>
      <c r="C205" s="60"/>
    </row>
    <row r="206">
      <c r="B206" s="60"/>
      <c r="C206" s="60"/>
    </row>
    <row r="207">
      <c r="B207" s="60"/>
      <c r="C207" s="60"/>
    </row>
    <row r="208">
      <c r="B208" s="60"/>
      <c r="C208" s="60"/>
    </row>
    <row r="209">
      <c r="B209" s="60"/>
      <c r="C209" s="60"/>
    </row>
    <row r="210">
      <c r="B210" s="60"/>
      <c r="C210" s="60"/>
    </row>
    <row r="211">
      <c r="B211" s="60"/>
      <c r="C211" s="60"/>
    </row>
    <row r="212">
      <c r="B212" s="60"/>
      <c r="C212" s="60"/>
    </row>
    <row r="213">
      <c r="B213" s="60"/>
      <c r="C213" s="60"/>
    </row>
    <row r="214">
      <c r="B214" s="60"/>
      <c r="C214" s="60"/>
    </row>
    <row r="215">
      <c r="B215" s="60"/>
      <c r="C215" s="60"/>
    </row>
    <row r="216">
      <c r="B216" s="60"/>
      <c r="C216" s="60"/>
    </row>
    <row r="217">
      <c r="B217" s="60"/>
      <c r="C217" s="60"/>
    </row>
    <row r="218">
      <c r="B218" s="60"/>
      <c r="C218" s="60"/>
    </row>
    <row r="219">
      <c r="B219" s="60"/>
      <c r="C219" s="60"/>
    </row>
    <row r="220">
      <c r="B220" s="60"/>
      <c r="C220" s="60"/>
    </row>
    <row r="221">
      <c r="B221" s="60"/>
      <c r="C221" s="60"/>
    </row>
    <row r="222">
      <c r="B222" s="60"/>
      <c r="C222" s="60"/>
    </row>
    <row r="223">
      <c r="B223" s="60"/>
      <c r="C223" s="60"/>
    </row>
    <row r="224">
      <c r="B224" s="60"/>
      <c r="C224" s="60"/>
    </row>
    <row r="225">
      <c r="B225" s="60"/>
      <c r="C225" s="60"/>
    </row>
    <row r="226">
      <c r="B226" s="60"/>
      <c r="C226" s="60"/>
    </row>
    <row r="227">
      <c r="B227" s="60"/>
      <c r="C227" s="60"/>
    </row>
    <row r="228">
      <c r="B228" s="60"/>
      <c r="C228" s="60"/>
    </row>
    <row r="229">
      <c r="B229" s="60"/>
      <c r="C229" s="60"/>
    </row>
    <row r="230">
      <c r="B230" s="60"/>
      <c r="C230" s="60"/>
    </row>
    <row r="231">
      <c r="B231" s="60"/>
      <c r="C231" s="60"/>
    </row>
    <row r="232">
      <c r="B232" s="60"/>
      <c r="C232" s="60"/>
    </row>
    <row r="233">
      <c r="B233" s="60"/>
      <c r="C233" s="60"/>
    </row>
    <row r="234">
      <c r="B234" s="60"/>
      <c r="C234" s="60"/>
    </row>
    <row r="235">
      <c r="B235" s="60"/>
      <c r="C235" s="60"/>
    </row>
    <row r="236">
      <c r="B236" s="60"/>
      <c r="C236" s="60"/>
    </row>
    <row r="237">
      <c r="B237" s="60"/>
      <c r="C237" s="60"/>
    </row>
    <row r="238">
      <c r="B238" s="60"/>
      <c r="C238" s="60"/>
    </row>
    <row r="239">
      <c r="B239" s="60"/>
      <c r="C239" s="60"/>
    </row>
    <row r="240">
      <c r="B240" s="60"/>
      <c r="C240" s="60"/>
    </row>
    <row r="241">
      <c r="B241" s="60"/>
      <c r="C241" s="60"/>
    </row>
    <row r="242">
      <c r="B242" s="60"/>
      <c r="C242" s="60"/>
    </row>
    <row r="243">
      <c r="B243" s="60"/>
      <c r="C243" s="60"/>
    </row>
    <row r="244">
      <c r="B244" s="60"/>
      <c r="C244" s="60"/>
    </row>
    <row r="245">
      <c r="B245" s="60"/>
      <c r="C245" s="60"/>
    </row>
    <row r="246">
      <c r="B246" s="60"/>
      <c r="C246" s="60"/>
    </row>
    <row r="247">
      <c r="B247" s="60"/>
      <c r="C247" s="60"/>
    </row>
    <row r="248">
      <c r="B248" s="60"/>
      <c r="C248" s="60"/>
    </row>
    <row r="249">
      <c r="B249" s="60"/>
      <c r="C249" s="60"/>
    </row>
    <row r="250">
      <c r="B250" s="60"/>
      <c r="C250" s="60"/>
    </row>
    <row r="251">
      <c r="B251" s="60"/>
      <c r="C251" s="60"/>
    </row>
    <row r="252">
      <c r="B252" s="60"/>
      <c r="C252" s="60"/>
    </row>
    <row r="253">
      <c r="B253" s="60"/>
      <c r="C253" s="60"/>
    </row>
    <row r="254">
      <c r="B254" s="60"/>
      <c r="C254" s="60"/>
    </row>
    <row r="255">
      <c r="B255" s="60"/>
      <c r="C255" s="60"/>
    </row>
    <row r="256">
      <c r="B256" s="60"/>
      <c r="C256" s="60"/>
    </row>
    <row r="257">
      <c r="B257" s="60"/>
      <c r="C257" s="60"/>
    </row>
    <row r="258">
      <c r="B258" s="60"/>
      <c r="C258" s="60"/>
    </row>
    <row r="259">
      <c r="B259" s="60"/>
      <c r="C259" s="60"/>
    </row>
    <row r="260">
      <c r="B260" s="60"/>
      <c r="C260" s="60"/>
    </row>
    <row r="261">
      <c r="B261" s="60"/>
      <c r="C261" s="60"/>
    </row>
    <row r="262">
      <c r="B262" s="60"/>
      <c r="C262" s="60"/>
    </row>
    <row r="263">
      <c r="B263" s="60"/>
      <c r="C263" s="60"/>
    </row>
    <row r="264">
      <c r="B264" s="60"/>
      <c r="C264" s="60"/>
    </row>
    <row r="265">
      <c r="B265" s="60"/>
      <c r="C265" s="60"/>
    </row>
    <row r="266">
      <c r="B266" s="60"/>
      <c r="C266" s="60"/>
    </row>
    <row r="267">
      <c r="B267" s="60"/>
      <c r="C267" s="60"/>
    </row>
    <row r="268">
      <c r="B268" s="60"/>
      <c r="C268" s="60"/>
    </row>
    <row r="269">
      <c r="B269" s="60"/>
      <c r="C269" s="60"/>
    </row>
    <row r="270">
      <c r="B270" s="60"/>
      <c r="C270" s="60"/>
    </row>
    <row r="271">
      <c r="B271" s="60"/>
      <c r="C271" s="60"/>
    </row>
    <row r="272">
      <c r="B272" s="60"/>
      <c r="C272" s="60"/>
    </row>
    <row r="273">
      <c r="B273" s="60"/>
      <c r="C273" s="60"/>
    </row>
    <row r="274">
      <c r="B274" s="60"/>
      <c r="C274" s="60"/>
    </row>
    <row r="275">
      <c r="B275" s="60"/>
      <c r="C275" s="60"/>
    </row>
    <row r="276">
      <c r="B276" s="60"/>
      <c r="C276" s="60"/>
    </row>
    <row r="277">
      <c r="B277" s="60"/>
      <c r="C277" s="60"/>
    </row>
    <row r="278">
      <c r="B278" s="60"/>
      <c r="C278" s="60"/>
    </row>
    <row r="279">
      <c r="B279" s="60"/>
      <c r="C279" s="60"/>
    </row>
    <row r="280">
      <c r="B280" s="60"/>
      <c r="C280" s="60"/>
    </row>
    <row r="281">
      <c r="B281" s="60"/>
      <c r="C281" s="60"/>
    </row>
    <row r="282">
      <c r="B282" s="60"/>
      <c r="C282" s="60"/>
    </row>
    <row r="283">
      <c r="B283" s="60"/>
      <c r="C283" s="60"/>
    </row>
    <row r="284">
      <c r="B284" s="60"/>
      <c r="C284" s="60"/>
    </row>
    <row r="285">
      <c r="B285" s="60"/>
      <c r="C285" s="60"/>
    </row>
    <row r="286">
      <c r="B286" s="60"/>
      <c r="C286" s="60"/>
    </row>
    <row r="287">
      <c r="B287" s="60"/>
      <c r="C287" s="60"/>
    </row>
    <row r="288">
      <c r="B288" s="60"/>
      <c r="C288" s="60"/>
    </row>
    <row r="289">
      <c r="B289" s="60"/>
      <c r="C289" s="60"/>
    </row>
    <row r="290">
      <c r="B290" s="60"/>
      <c r="C290" s="60"/>
    </row>
    <row r="291">
      <c r="B291" s="60"/>
      <c r="C291" s="60"/>
    </row>
    <row r="292">
      <c r="B292" s="60"/>
      <c r="C292" s="60"/>
    </row>
    <row r="293">
      <c r="B293" s="60"/>
      <c r="C293" s="60"/>
    </row>
    <row r="294">
      <c r="B294" s="60"/>
      <c r="C294" s="60"/>
    </row>
    <row r="295">
      <c r="B295" s="60"/>
      <c r="C295" s="60"/>
    </row>
    <row r="296">
      <c r="B296" s="60"/>
      <c r="C296" s="60"/>
    </row>
    <row r="297">
      <c r="B297" s="60"/>
      <c r="C297" s="60"/>
    </row>
    <row r="298">
      <c r="B298" s="60"/>
      <c r="C298" s="60"/>
    </row>
    <row r="299">
      <c r="B299" s="60"/>
      <c r="C299" s="60"/>
    </row>
    <row r="300">
      <c r="B300" s="60"/>
      <c r="C300" s="60"/>
    </row>
    <row r="301">
      <c r="B301" s="60"/>
      <c r="C301" s="60"/>
    </row>
    <row r="302">
      <c r="B302" s="60"/>
      <c r="C302" s="60"/>
    </row>
    <row r="303">
      <c r="B303" s="60"/>
      <c r="C303" s="60"/>
    </row>
    <row r="304">
      <c r="B304" s="60"/>
      <c r="C304" s="60"/>
    </row>
    <row r="305">
      <c r="B305" s="60"/>
      <c r="C305" s="60"/>
    </row>
    <row r="306">
      <c r="B306" s="60"/>
      <c r="C306" s="60"/>
    </row>
    <row r="307">
      <c r="B307" s="60"/>
      <c r="C307" s="60"/>
    </row>
    <row r="308">
      <c r="B308" s="60"/>
      <c r="C308" s="60"/>
    </row>
    <row r="309">
      <c r="B309" s="60"/>
      <c r="C309" s="60"/>
    </row>
    <row r="310">
      <c r="B310" s="60"/>
      <c r="C310" s="60"/>
    </row>
    <row r="311">
      <c r="B311" s="60"/>
      <c r="C311" s="60"/>
    </row>
    <row r="312">
      <c r="B312" s="60"/>
      <c r="C312" s="60"/>
    </row>
    <row r="313">
      <c r="B313" s="60"/>
      <c r="C313" s="60"/>
    </row>
    <row r="314">
      <c r="B314" s="60"/>
      <c r="C314" s="60"/>
    </row>
    <row r="315">
      <c r="B315" s="60"/>
      <c r="C315" s="60"/>
    </row>
    <row r="316">
      <c r="B316" s="60"/>
      <c r="C316" s="60"/>
    </row>
    <row r="317">
      <c r="B317" s="60"/>
      <c r="C317" s="60"/>
    </row>
    <row r="318">
      <c r="B318" s="60"/>
      <c r="C318" s="60"/>
    </row>
    <row r="319">
      <c r="B319" s="60"/>
      <c r="C319" s="60"/>
    </row>
    <row r="320">
      <c r="B320" s="60"/>
      <c r="C320" s="60"/>
    </row>
    <row r="321">
      <c r="B321" s="60"/>
      <c r="C321" s="60"/>
    </row>
    <row r="322">
      <c r="B322" s="60"/>
      <c r="C322" s="60"/>
    </row>
    <row r="323">
      <c r="B323" s="60"/>
      <c r="C323" s="60"/>
    </row>
    <row r="324">
      <c r="B324" s="60"/>
      <c r="C324" s="60"/>
    </row>
    <row r="325">
      <c r="B325" s="60"/>
      <c r="C325" s="60"/>
    </row>
    <row r="326">
      <c r="B326" s="60"/>
      <c r="C326" s="60"/>
    </row>
    <row r="327">
      <c r="B327" s="60"/>
      <c r="C327" s="60"/>
    </row>
    <row r="328">
      <c r="B328" s="60"/>
      <c r="C328" s="60"/>
    </row>
    <row r="329">
      <c r="B329" s="60"/>
      <c r="C329" s="60"/>
    </row>
    <row r="330">
      <c r="B330" s="60"/>
      <c r="C330" s="60"/>
    </row>
    <row r="331">
      <c r="B331" s="60"/>
      <c r="C331" s="60"/>
    </row>
    <row r="332">
      <c r="B332" s="60"/>
      <c r="C332" s="60"/>
    </row>
    <row r="333">
      <c r="B333" s="60"/>
      <c r="C333" s="60"/>
    </row>
    <row r="334">
      <c r="B334" s="60"/>
      <c r="C334" s="60"/>
    </row>
    <row r="335">
      <c r="B335" s="60"/>
      <c r="C335" s="60"/>
    </row>
    <row r="336">
      <c r="B336" s="60"/>
      <c r="C336" s="60"/>
    </row>
    <row r="337">
      <c r="B337" s="60"/>
      <c r="C337" s="60"/>
    </row>
    <row r="338">
      <c r="B338" s="60"/>
      <c r="C338" s="60"/>
    </row>
    <row r="339">
      <c r="B339" s="60"/>
      <c r="C339" s="60"/>
    </row>
    <row r="340">
      <c r="B340" s="60"/>
      <c r="C340" s="60"/>
    </row>
    <row r="341">
      <c r="B341" s="60"/>
      <c r="C341" s="60"/>
    </row>
    <row r="342">
      <c r="B342" s="60"/>
      <c r="C342" s="60"/>
    </row>
    <row r="343">
      <c r="B343" s="60"/>
      <c r="C343" s="60"/>
    </row>
    <row r="344">
      <c r="B344" s="60"/>
      <c r="C344" s="60"/>
    </row>
    <row r="345">
      <c r="B345" s="60"/>
      <c r="C345" s="60"/>
    </row>
    <row r="346">
      <c r="B346" s="60"/>
      <c r="C346" s="60"/>
    </row>
    <row r="347">
      <c r="B347" s="60"/>
      <c r="C347" s="60"/>
    </row>
    <row r="348">
      <c r="B348" s="60"/>
      <c r="C348" s="60"/>
    </row>
    <row r="349">
      <c r="B349" s="60"/>
      <c r="C349" s="60"/>
    </row>
    <row r="350">
      <c r="B350" s="60"/>
      <c r="C350" s="60"/>
    </row>
    <row r="351">
      <c r="B351" s="60"/>
      <c r="C351" s="60"/>
    </row>
    <row r="352">
      <c r="B352" s="60"/>
      <c r="C352" s="60"/>
    </row>
    <row r="353">
      <c r="B353" s="60"/>
      <c r="C353" s="60"/>
    </row>
    <row r="354">
      <c r="B354" s="60"/>
      <c r="C354" s="60"/>
    </row>
    <row r="355">
      <c r="B355" s="60"/>
      <c r="C355" s="60"/>
    </row>
    <row r="356">
      <c r="B356" s="60"/>
      <c r="C356" s="60"/>
    </row>
    <row r="357">
      <c r="B357" s="60"/>
      <c r="C357" s="60"/>
    </row>
    <row r="358">
      <c r="B358" s="60"/>
      <c r="C358" s="60"/>
    </row>
    <row r="359">
      <c r="B359" s="60"/>
      <c r="C359" s="60"/>
    </row>
    <row r="360">
      <c r="B360" s="60"/>
      <c r="C360" s="60"/>
    </row>
    <row r="361">
      <c r="B361" s="60"/>
      <c r="C361" s="60"/>
    </row>
    <row r="362">
      <c r="B362" s="60"/>
      <c r="C362" s="60"/>
    </row>
    <row r="363">
      <c r="B363" s="60"/>
      <c r="C363" s="60"/>
    </row>
    <row r="364">
      <c r="B364" s="60"/>
      <c r="C364" s="60"/>
    </row>
    <row r="365">
      <c r="B365" s="60"/>
      <c r="C365" s="60"/>
    </row>
    <row r="366">
      <c r="B366" s="60"/>
      <c r="C366" s="60"/>
    </row>
    <row r="367">
      <c r="B367" s="60"/>
      <c r="C367" s="60"/>
    </row>
    <row r="368">
      <c r="B368" s="60"/>
      <c r="C368" s="60"/>
    </row>
    <row r="369">
      <c r="B369" s="60"/>
      <c r="C369" s="60"/>
    </row>
    <row r="370">
      <c r="B370" s="60"/>
      <c r="C370" s="60"/>
    </row>
    <row r="371">
      <c r="B371" s="60"/>
      <c r="C371" s="60"/>
    </row>
    <row r="372">
      <c r="B372" s="60"/>
      <c r="C372" s="60"/>
    </row>
    <row r="373">
      <c r="B373" s="60"/>
      <c r="C373" s="60"/>
    </row>
    <row r="374">
      <c r="B374" s="60"/>
      <c r="C374" s="60"/>
    </row>
    <row r="375">
      <c r="B375" s="60"/>
      <c r="C375" s="60"/>
    </row>
    <row r="376">
      <c r="B376" s="60"/>
      <c r="C376" s="60"/>
    </row>
    <row r="377">
      <c r="B377" s="60"/>
      <c r="C377" s="60"/>
    </row>
    <row r="378">
      <c r="B378" s="60"/>
      <c r="C378" s="60"/>
    </row>
    <row r="379">
      <c r="B379" s="60"/>
      <c r="C379" s="60"/>
    </row>
    <row r="380">
      <c r="B380" s="60"/>
      <c r="C380" s="60"/>
    </row>
    <row r="381">
      <c r="B381" s="60"/>
      <c r="C381" s="60"/>
    </row>
    <row r="382">
      <c r="B382" s="60"/>
      <c r="C382" s="60"/>
    </row>
    <row r="383">
      <c r="B383" s="60"/>
      <c r="C383" s="60"/>
    </row>
    <row r="384">
      <c r="B384" s="60"/>
      <c r="C384" s="60"/>
    </row>
    <row r="385">
      <c r="B385" s="60"/>
      <c r="C385" s="60"/>
    </row>
    <row r="386">
      <c r="B386" s="60"/>
      <c r="C386" s="60"/>
    </row>
    <row r="387">
      <c r="B387" s="60"/>
      <c r="C387" s="60"/>
    </row>
    <row r="388">
      <c r="B388" s="60"/>
      <c r="C388" s="60"/>
    </row>
    <row r="389">
      <c r="B389" s="60"/>
      <c r="C389" s="60"/>
    </row>
    <row r="390">
      <c r="B390" s="60"/>
      <c r="C390" s="60"/>
    </row>
    <row r="391">
      <c r="B391" s="60"/>
      <c r="C391" s="60"/>
    </row>
    <row r="392">
      <c r="B392" s="60"/>
      <c r="C392" s="60"/>
    </row>
    <row r="393">
      <c r="B393" s="60"/>
      <c r="C393" s="60"/>
    </row>
    <row r="394">
      <c r="B394" s="60"/>
      <c r="C394" s="60"/>
    </row>
    <row r="395">
      <c r="B395" s="60"/>
      <c r="C395" s="60"/>
    </row>
    <row r="396">
      <c r="B396" s="60"/>
      <c r="C396" s="60"/>
    </row>
    <row r="397">
      <c r="B397" s="60"/>
      <c r="C397" s="60"/>
    </row>
    <row r="398">
      <c r="B398" s="60"/>
      <c r="C398" s="60"/>
    </row>
    <row r="399">
      <c r="B399" s="60"/>
      <c r="C399" s="60"/>
    </row>
    <row r="400">
      <c r="B400" s="60"/>
      <c r="C400" s="60"/>
    </row>
    <row r="401">
      <c r="B401" s="60"/>
      <c r="C401" s="60"/>
    </row>
    <row r="402">
      <c r="B402" s="60"/>
      <c r="C402" s="60"/>
    </row>
    <row r="403">
      <c r="B403" s="60"/>
      <c r="C403" s="60"/>
    </row>
    <row r="404">
      <c r="B404" s="60"/>
      <c r="C404" s="60"/>
    </row>
    <row r="405">
      <c r="B405" s="60"/>
      <c r="C405" s="60"/>
    </row>
    <row r="406">
      <c r="B406" s="60"/>
      <c r="C406" s="60"/>
    </row>
    <row r="407">
      <c r="B407" s="60"/>
      <c r="C407" s="60"/>
    </row>
    <row r="408">
      <c r="B408" s="60"/>
      <c r="C408" s="60"/>
    </row>
    <row r="409">
      <c r="B409" s="60"/>
      <c r="C409" s="60"/>
    </row>
    <row r="410">
      <c r="B410" s="60"/>
      <c r="C410" s="60"/>
    </row>
    <row r="411">
      <c r="B411" s="60"/>
      <c r="C411" s="60"/>
    </row>
    <row r="412">
      <c r="B412" s="60"/>
      <c r="C412" s="60"/>
    </row>
    <row r="413">
      <c r="B413" s="60"/>
      <c r="C413" s="60"/>
    </row>
    <row r="414">
      <c r="B414" s="60"/>
      <c r="C414" s="60"/>
    </row>
    <row r="415">
      <c r="B415" s="60"/>
      <c r="C415" s="60"/>
    </row>
    <row r="416">
      <c r="B416" s="60"/>
      <c r="C416" s="60"/>
    </row>
    <row r="417">
      <c r="B417" s="60"/>
      <c r="C417" s="60"/>
    </row>
    <row r="418">
      <c r="B418" s="60"/>
      <c r="C418" s="60"/>
    </row>
    <row r="419">
      <c r="B419" s="60"/>
      <c r="C419" s="60"/>
    </row>
    <row r="420">
      <c r="B420" s="60"/>
      <c r="C420" s="60"/>
    </row>
    <row r="421">
      <c r="B421" s="60"/>
      <c r="C421" s="60"/>
    </row>
    <row r="422">
      <c r="B422" s="60"/>
      <c r="C422" s="60"/>
    </row>
    <row r="423">
      <c r="B423" s="60"/>
      <c r="C423" s="60"/>
    </row>
    <row r="424">
      <c r="B424" s="60"/>
      <c r="C424" s="60"/>
    </row>
    <row r="425">
      <c r="B425" s="60"/>
      <c r="C425" s="60"/>
    </row>
    <row r="426">
      <c r="B426" s="60"/>
      <c r="C426" s="60"/>
    </row>
    <row r="427">
      <c r="B427" s="60"/>
      <c r="C427" s="60"/>
    </row>
    <row r="428">
      <c r="B428" s="60"/>
      <c r="C428" s="60"/>
    </row>
    <row r="429">
      <c r="B429" s="60"/>
      <c r="C429" s="60"/>
    </row>
    <row r="430">
      <c r="B430" s="60"/>
      <c r="C430" s="60"/>
    </row>
    <row r="431">
      <c r="B431" s="60"/>
      <c r="C431" s="60"/>
    </row>
    <row r="432">
      <c r="B432" s="60"/>
      <c r="C432" s="60"/>
    </row>
    <row r="433">
      <c r="B433" s="60"/>
      <c r="C433" s="60"/>
    </row>
    <row r="434">
      <c r="B434" s="60"/>
      <c r="C434" s="60"/>
    </row>
    <row r="435">
      <c r="B435" s="60"/>
      <c r="C435" s="60"/>
    </row>
    <row r="436">
      <c r="B436" s="60"/>
      <c r="C436" s="60"/>
    </row>
    <row r="437">
      <c r="B437" s="60"/>
      <c r="C437" s="60"/>
    </row>
    <row r="438">
      <c r="B438" s="60"/>
      <c r="C438" s="60"/>
    </row>
    <row r="439">
      <c r="B439" s="60"/>
      <c r="C439" s="60"/>
    </row>
    <row r="440">
      <c r="B440" s="60"/>
      <c r="C440" s="60"/>
    </row>
    <row r="441">
      <c r="B441" s="60"/>
      <c r="C441" s="60"/>
    </row>
    <row r="442">
      <c r="B442" s="60"/>
      <c r="C442" s="60"/>
    </row>
    <row r="443">
      <c r="B443" s="60"/>
      <c r="C443" s="60"/>
    </row>
    <row r="444">
      <c r="B444" s="60"/>
      <c r="C444" s="60"/>
    </row>
    <row r="445">
      <c r="B445" s="60"/>
      <c r="C445" s="60"/>
    </row>
    <row r="446">
      <c r="B446" s="60"/>
      <c r="C446" s="60"/>
    </row>
    <row r="447">
      <c r="B447" s="60"/>
      <c r="C447" s="60"/>
    </row>
    <row r="448">
      <c r="B448" s="60"/>
      <c r="C448" s="60"/>
    </row>
    <row r="449">
      <c r="B449" s="60"/>
      <c r="C449" s="60"/>
    </row>
    <row r="450">
      <c r="B450" s="60"/>
      <c r="C450" s="60"/>
    </row>
    <row r="451">
      <c r="B451" s="60"/>
      <c r="C451" s="60"/>
    </row>
    <row r="452">
      <c r="B452" s="60"/>
      <c r="C452" s="60"/>
    </row>
    <row r="453">
      <c r="B453" s="60"/>
      <c r="C453" s="60"/>
    </row>
    <row r="454">
      <c r="B454" s="60"/>
      <c r="C454" s="60"/>
    </row>
    <row r="455">
      <c r="B455" s="60"/>
      <c r="C455" s="60"/>
    </row>
    <row r="456">
      <c r="B456" s="60"/>
      <c r="C456" s="60"/>
    </row>
    <row r="457">
      <c r="B457" s="60"/>
      <c r="C457" s="60"/>
    </row>
    <row r="458">
      <c r="B458" s="60"/>
      <c r="C458" s="60"/>
    </row>
    <row r="459">
      <c r="B459" s="60"/>
      <c r="C459" s="60"/>
    </row>
    <row r="460">
      <c r="B460" s="60"/>
      <c r="C460" s="60"/>
    </row>
    <row r="461">
      <c r="B461" s="60"/>
      <c r="C461" s="60"/>
    </row>
    <row r="462">
      <c r="B462" s="60"/>
      <c r="C462" s="60"/>
    </row>
    <row r="463">
      <c r="B463" s="60"/>
      <c r="C463" s="60"/>
    </row>
    <row r="464">
      <c r="B464" s="60"/>
      <c r="C464" s="60"/>
    </row>
    <row r="465">
      <c r="B465" s="60"/>
      <c r="C465" s="60"/>
    </row>
    <row r="466">
      <c r="B466" s="60"/>
      <c r="C466" s="60"/>
    </row>
    <row r="467">
      <c r="B467" s="60"/>
      <c r="C467" s="60"/>
    </row>
    <row r="468">
      <c r="B468" s="60"/>
      <c r="C468" s="60"/>
    </row>
    <row r="469">
      <c r="B469" s="60"/>
      <c r="C469" s="60"/>
    </row>
    <row r="470">
      <c r="B470" s="60"/>
      <c r="C470" s="60"/>
    </row>
    <row r="471">
      <c r="B471" s="60"/>
      <c r="C471" s="60"/>
    </row>
    <row r="472">
      <c r="B472" s="60"/>
      <c r="C472" s="60"/>
    </row>
    <row r="473">
      <c r="B473" s="60"/>
      <c r="C473" s="60"/>
    </row>
    <row r="474">
      <c r="B474" s="60"/>
      <c r="C474" s="60"/>
    </row>
    <row r="475">
      <c r="B475" s="60"/>
      <c r="C475" s="60"/>
    </row>
    <row r="476">
      <c r="B476" s="60"/>
      <c r="C476" s="60"/>
    </row>
    <row r="477">
      <c r="B477" s="60"/>
      <c r="C477" s="60"/>
    </row>
    <row r="478">
      <c r="B478" s="60"/>
      <c r="C478" s="60"/>
    </row>
    <row r="479">
      <c r="B479" s="60"/>
      <c r="C479" s="60"/>
    </row>
    <row r="480">
      <c r="B480" s="60"/>
      <c r="C480" s="60"/>
    </row>
    <row r="481">
      <c r="B481" s="60"/>
      <c r="C481" s="60"/>
    </row>
    <row r="482">
      <c r="B482" s="60"/>
      <c r="C482" s="60"/>
    </row>
    <row r="483">
      <c r="B483" s="60"/>
      <c r="C483" s="60"/>
    </row>
    <row r="484">
      <c r="B484" s="60"/>
      <c r="C484" s="60"/>
    </row>
    <row r="485">
      <c r="B485" s="60"/>
      <c r="C485" s="60"/>
    </row>
    <row r="486">
      <c r="B486" s="60"/>
      <c r="C486" s="60"/>
    </row>
    <row r="487">
      <c r="B487" s="60"/>
      <c r="C487" s="60"/>
    </row>
    <row r="488">
      <c r="B488" s="60"/>
      <c r="C488" s="60"/>
    </row>
    <row r="489">
      <c r="B489" s="60"/>
      <c r="C489" s="60"/>
    </row>
    <row r="490">
      <c r="B490" s="60"/>
      <c r="C490" s="60"/>
    </row>
    <row r="491">
      <c r="B491" s="60"/>
      <c r="C491" s="60"/>
    </row>
    <row r="492">
      <c r="B492" s="60"/>
      <c r="C492" s="60"/>
    </row>
    <row r="493">
      <c r="B493" s="60"/>
      <c r="C493" s="60"/>
    </row>
    <row r="494">
      <c r="B494" s="60"/>
      <c r="C494" s="60"/>
    </row>
    <row r="495">
      <c r="B495" s="60"/>
      <c r="C495" s="60"/>
    </row>
    <row r="496">
      <c r="B496" s="60"/>
      <c r="C496" s="60"/>
    </row>
    <row r="497">
      <c r="B497" s="60"/>
      <c r="C497" s="60"/>
    </row>
    <row r="498">
      <c r="B498" s="60"/>
      <c r="C498" s="60"/>
    </row>
    <row r="499">
      <c r="B499" s="60"/>
      <c r="C499" s="60"/>
    </row>
    <row r="500">
      <c r="B500" s="60"/>
      <c r="C500" s="60"/>
    </row>
    <row r="501">
      <c r="B501" s="60"/>
      <c r="C501" s="60"/>
    </row>
    <row r="502">
      <c r="B502" s="60"/>
      <c r="C502" s="60"/>
    </row>
    <row r="503">
      <c r="B503" s="60"/>
      <c r="C503" s="60"/>
    </row>
    <row r="504">
      <c r="B504" s="60"/>
      <c r="C504" s="60"/>
    </row>
    <row r="505">
      <c r="B505" s="60"/>
      <c r="C505" s="60"/>
    </row>
    <row r="506">
      <c r="B506" s="60"/>
      <c r="C506" s="60"/>
    </row>
    <row r="507">
      <c r="B507" s="60"/>
      <c r="C507" s="60"/>
    </row>
    <row r="508">
      <c r="B508" s="60"/>
      <c r="C508" s="60"/>
    </row>
    <row r="509">
      <c r="B509" s="60"/>
      <c r="C509" s="60"/>
    </row>
    <row r="510">
      <c r="B510" s="60"/>
      <c r="C510" s="60"/>
    </row>
    <row r="511">
      <c r="B511" s="60"/>
      <c r="C511" s="60"/>
    </row>
    <row r="512">
      <c r="B512" s="60"/>
      <c r="C512" s="60"/>
    </row>
    <row r="513">
      <c r="B513" s="60"/>
      <c r="C513" s="60"/>
    </row>
    <row r="514">
      <c r="B514" s="60"/>
      <c r="C514" s="60"/>
    </row>
    <row r="515">
      <c r="B515" s="60"/>
      <c r="C515" s="60"/>
    </row>
    <row r="516">
      <c r="B516" s="60"/>
      <c r="C516" s="60"/>
    </row>
    <row r="517">
      <c r="B517" s="60"/>
      <c r="C517" s="60"/>
    </row>
    <row r="518">
      <c r="B518" s="60"/>
      <c r="C518" s="60"/>
    </row>
    <row r="519">
      <c r="B519" s="60"/>
      <c r="C519" s="60"/>
    </row>
    <row r="520">
      <c r="B520" s="60"/>
      <c r="C520" s="60"/>
    </row>
    <row r="521">
      <c r="B521" s="60"/>
      <c r="C521" s="60"/>
    </row>
    <row r="522">
      <c r="B522" s="60"/>
      <c r="C522" s="60"/>
    </row>
    <row r="523">
      <c r="B523" s="60"/>
      <c r="C523" s="60"/>
    </row>
    <row r="524">
      <c r="B524" s="60"/>
      <c r="C524" s="60"/>
    </row>
    <row r="525">
      <c r="B525" s="60"/>
      <c r="C525" s="60"/>
    </row>
    <row r="526">
      <c r="B526" s="60"/>
      <c r="C526" s="60"/>
    </row>
    <row r="527">
      <c r="B527" s="60"/>
      <c r="C527" s="60"/>
    </row>
    <row r="528">
      <c r="B528" s="60"/>
      <c r="C528" s="60"/>
    </row>
    <row r="529">
      <c r="B529" s="60"/>
      <c r="C529" s="60"/>
    </row>
    <row r="530">
      <c r="B530" s="60"/>
      <c r="C530" s="60"/>
    </row>
    <row r="531">
      <c r="B531" s="60"/>
      <c r="C531" s="60"/>
    </row>
    <row r="532">
      <c r="B532" s="60"/>
      <c r="C532" s="60"/>
    </row>
    <row r="533">
      <c r="B533" s="60"/>
      <c r="C533" s="60"/>
    </row>
    <row r="534">
      <c r="B534" s="60"/>
      <c r="C534" s="60"/>
    </row>
    <row r="535">
      <c r="B535" s="60"/>
      <c r="C535" s="60"/>
    </row>
    <row r="536">
      <c r="B536" s="60"/>
      <c r="C536" s="60"/>
    </row>
    <row r="537">
      <c r="B537" s="60"/>
      <c r="C537" s="60"/>
    </row>
    <row r="538">
      <c r="B538" s="60"/>
      <c r="C538" s="60"/>
    </row>
    <row r="539">
      <c r="B539" s="60"/>
      <c r="C539" s="60"/>
    </row>
    <row r="540">
      <c r="B540" s="60"/>
      <c r="C540" s="60"/>
    </row>
    <row r="541">
      <c r="B541" s="60"/>
      <c r="C541" s="60"/>
    </row>
    <row r="542">
      <c r="B542" s="60"/>
      <c r="C542" s="60"/>
    </row>
    <row r="543">
      <c r="B543" s="60"/>
      <c r="C543" s="60"/>
    </row>
    <row r="544">
      <c r="B544" s="60"/>
      <c r="C544" s="60"/>
    </row>
    <row r="545">
      <c r="B545" s="60"/>
      <c r="C545" s="60"/>
    </row>
    <row r="546">
      <c r="B546" s="60"/>
      <c r="C546" s="60"/>
    </row>
    <row r="547">
      <c r="B547" s="60"/>
      <c r="C547" s="60"/>
    </row>
    <row r="548">
      <c r="B548" s="60"/>
      <c r="C548" s="60"/>
    </row>
    <row r="549">
      <c r="B549" s="60"/>
      <c r="C549" s="60"/>
    </row>
    <row r="550">
      <c r="B550" s="60"/>
      <c r="C550" s="60"/>
    </row>
    <row r="551">
      <c r="B551" s="60"/>
      <c r="C551" s="60"/>
    </row>
    <row r="552">
      <c r="B552" s="60"/>
      <c r="C552" s="60"/>
    </row>
    <row r="553">
      <c r="B553" s="60"/>
      <c r="C553" s="60"/>
    </row>
    <row r="554">
      <c r="B554" s="60"/>
      <c r="C554" s="60"/>
    </row>
    <row r="555">
      <c r="B555" s="60"/>
      <c r="C555" s="60"/>
    </row>
    <row r="556">
      <c r="B556" s="60"/>
      <c r="C556" s="60"/>
    </row>
    <row r="557">
      <c r="B557" s="60"/>
      <c r="C557" s="60"/>
    </row>
    <row r="558">
      <c r="B558" s="60"/>
      <c r="C558" s="60"/>
    </row>
    <row r="559">
      <c r="B559" s="60"/>
      <c r="C559" s="60"/>
    </row>
    <row r="560">
      <c r="B560" s="60"/>
      <c r="C560" s="60"/>
    </row>
    <row r="561">
      <c r="B561" s="60"/>
      <c r="C561" s="60"/>
    </row>
    <row r="562">
      <c r="B562" s="60"/>
      <c r="C562" s="60"/>
    </row>
    <row r="563">
      <c r="B563" s="60"/>
      <c r="C563" s="60"/>
    </row>
    <row r="564">
      <c r="B564" s="60"/>
      <c r="C564" s="60"/>
    </row>
    <row r="565">
      <c r="B565" s="60"/>
      <c r="C565" s="60"/>
    </row>
    <row r="566">
      <c r="B566" s="60"/>
      <c r="C566" s="60"/>
    </row>
    <row r="567">
      <c r="B567" s="60"/>
      <c r="C567" s="60"/>
    </row>
    <row r="568">
      <c r="B568" s="60"/>
      <c r="C568" s="60"/>
    </row>
    <row r="569">
      <c r="B569" s="60"/>
      <c r="C569" s="60"/>
    </row>
    <row r="570">
      <c r="B570" s="60"/>
      <c r="C570" s="60"/>
    </row>
    <row r="571">
      <c r="B571" s="60"/>
      <c r="C571" s="60"/>
    </row>
    <row r="572">
      <c r="B572" s="60"/>
      <c r="C572" s="60"/>
    </row>
    <row r="573">
      <c r="B573" s="60"/>
      <c r="C573" s="60"/>
    </row>
    <row r="574">
      <c r="B574" s="60"/>
      <c r="C574" s="60"/>
    </row>
    <row r="575">
      <c r="B575" s="60"/>
      <c r="C575" s="60"/>
    </row>
    <row r="576">
      <c r="B576" s="60"/>
      <c r="C576" s="60"/>
    </row>
    <row r="577">
      <c r="B577" s="60"/>
      <c r="C577" s="60"/>
    </row>
    <row r="578">
      <c r="B578" s="60"/>
      <c r="C578" s="60"/>
    </row>
    <row r="579">
      <c r="B579" s="60"/>
      <c r="C579" s="60"/>
    </row>
    <row r="580">
      <c r="B580" s="60"/>
      <c r="C580" s="60"/>
    </row>
    <row r="581">
      <c r="B581" s="60"/>
      <c r="C581" s="60"/>
    </row>
    <row r="582">
      <c r="B582" s="60"/>
      <c r="C582" s="60"/>
    </row>
    <row r="583">
      <c r="B583" s="60"/>
      <c r="C583" s="60"/>
    </row>
    <row r="584">
      <c r="B584" s="60"/>
      <c r="C584" s="60"/>
    </row>
    <row r="585">
      <c r="B585" s="60"/>
      <c r="C585" s="60"/>
    </row>
    <row r="586">
      <c r="B586" s="60"/>
      <c r="C586" s="60"/>
    </row>
    <row r="587">
      <c r="B587" s="60"/>
      <c r="C587" s="60"/>
    </row>
    <row r="588">
      <c r="B588" s="60"/>
      <c r="C588" s="60"/>
    </row>
    <row r="589">
      <c r="B589" s="60"/>
      <c r="C589" s="60"/>
    </row>
    <row r="590">
      <c r="B590" s="60"/>
      <c r="C590" s="60"/>
    </row>
    <row r="591">
      <c r="B591" s="60"/>
      <c r="C591" s="60"/>
    </row>
    <row r="592">
      <c r="B592" s="60"/>
      <c r="C592" s="60"/>
    </row>
    <row r="593">
      <c r="B593" s="60"/>
      <c r="C593" s="60"/>
    </row>
    <row r="594">
      <c r="B594" s="60"/>
      <c r="C594" s="60"/>
    </row>
    <row r="595">
      <c r="B595" s="60"/>
      <c r="C595" s="60"/>
    </row>
    <row r="596">
      <c r="B596" s="60"/>
      <c r="C596" s="60"/>
    </row>
    <row r="597">
      <c r="B597" s="60"/>
      <c r="C597" s="60"/>
    </row>
    <row r="598">
      <c r="B598" s="60"/>
      <c r="C598" s="60"/>
    </row>
    <row r="599">
      <c r="B599" s="60"/>
      <c r="C599" s="60"/>
    </row>
    <row r="600">
      <c r="B600" s="60"/>
      <c r="C600" s="60"/>
    </row>
    <row r="601">
      <c r="B601" s="60"/>
      <c r="C601" s="60"/>
    </row>
    <row r="602">
      <c r="B602" s="60"/>
      <c r="C602" s="60"/>
    </row>
    <row r="603">
      <c r="B603" s="60"/>
      <c r="C603" s="60"/>
    </row>
    <row r="604">
      <c r="B604" s="60"/>
      <c r="C604" s="60"/>
    </row>
    <row r="605">
      <c r="B605" s="60"/>
      <c r="C605" s="60"/>
    </row>
    <row r="606">
      <c r="B606" s="60"/>
      <c r="C606" s="60"/>
    </row>
    <row r="607">
      <c r="B607" s="60"/>
      <c r="C607" s="60"/>
    </row>
    <row r="608">
      <c r="B608" s="60"/>
      <c r="C608" s="60"/>
    </row>
    <row r="609">
      <c r="B609" s="60"/>
      <c r="C609" s="60"/>
    </row>
    <row r="610">
      <c r="B610" s="60"/>
      <c r="C610" s="60"/>
    </row>
    <row r="611">
      <c r="B611" s="60"/>
      <c r="C611" s="60"/>
    </row>
    <row r="612">
      <c r="B612" s="60"/>
      <c r="C612" s="60"/>
    </row>
    <row r="613">
      <c r="B613" s="60"/>
      <c r="C613" s="60"/>
    </row>
    <row r="614">
      <c r="B614" s="60"/>
      <c r="C614" s="60"/>
    </row>
    <row r="615">
      <c r="B615" s="60"/>
      <c r="C615" s="60"/>
    </row>
    <row r="616">
      <c r="B616" s="60"/>
      <c r="C616" s="60"/>
    </row>
    <row r="617">
      <c r="B617" s="60"/>
      <c r="C617" s="60"/>
    </row>
    <row r="618">
      <c r="B618" s="60"/>
      <c r="C618" s="60"/>
    </row>
    <row r="619">
      <c r="B619" s="60"/>
      <c r="C619" s="60"/>
    </row>
    <row r="620">
      <c r="B620" s="60"/>
      <c r="C620" s="60"/>
    </row>
    <row r="621">
      <c r="B621" s="60"/>
      <c r="C621" s="60"/>
    </row>
    <row r="622">
      <c r="B622" s="60"/>
      <c r="C622" s="60"/>
    </row>
    <row r="623">
      <c r="B623" s="60"/>
      <c r="C623" s="60"/>
    </row>
    <row r="624">
      <c r="B624" s="60"/>
      <c r="C624" s="60"/>
    </row>
    <row r="625">
      <c r="B625" s="60"/>
      <c r="C625" s="60"/>
    </row>
    <row r="626">
      <c r="B626" s="60"/>
      <c r="C626" s="60"/>
    </row>
    <row r="627">
      <c r="B627" s="60"/>
      <c r="C627" s="60"/>
    </row>
    <row r="628">
      <c r="B628" s="60"/>
      <c r="C628" s="60"/>
    </row>
    <row r="629">
      <c r="B629" s="60"/>
      <c r="C629" s="60"/>
    </row>
    <row r="630">
      <c r="B630" s="60"/>
      <c r="C630" s="60"/>
    </row>
    <row r="631">
      <c r="B631" s="60"/>
      <c r="C631" s="60"/>
    </row>
    <row r="632">
      <c r="B632" s="60"/>
      <c r="C632" s="60"/>
    </row>
    <row r="633">
      <c r="B633" s="60"/>
      <c r="C633" s="60"/>
    </row>
    <row r="634">
      <c r="B634" s="60"/>
      <c r="C634" s="60"/>
    </row>
    <row r="635">
      <c r="B635" s="60"/>
      <c r="C635" s="60"/>
    </row>
    <row r="636">
      <c r="B636" s="60"/>
      <c r="C636" s="60"/>
    </row>
    <row r="637">
      <c r="B637" s="60"/>
      <c r="C637" s="60"/>
    </row>
    <row r="638">
      <c r="B638" s="60"/>
      <c r="C638" s="60"/>
    </row>
    <row r="639">
      <c r="B639" s="60"/>
      <c r="C639" s="60"/>
    </row>
    <row r="640">
      <c r="B640" s="60"/>
      <c r="C640" s="60"/>
    </row>
    <row r="641">
      <c r="B641" s="60"/>
      <c r="C641" s="60"/>
    </row>
    <row r="642">
      <c r="B642" s="60"/>
      <c r="C642" s="60"/>
    </row>
    <row r="643">
      <c r="B643" s="60"/>
      <c r="C643" s="60"/>
    </row>
    <row r="644">
      <c r="B644" s="60"/>
      <c r="C644" s="60"/>
    </row>
    <row r="645">
      <c r="B645" s="60"/>
      <c r="C645" s="60"/>
    </row>
    <row r="646">
      <c r="B646" s="60"/>
      <c r="C646" s="60"/>
    </row>
    <row r="647">
      <c r="B647" s="60"/>
      <c r="C647" s="60"/>
    </row>
    <row r="648">
      <c r="B648" s="60"/>
      <c r="C648" s="60"/>
    </row>
    <row r="649">
      <c r="B649" s="60"/>
      <c r="C649" s="60"/>
    </row>
    <row r="650">
      <c r="B650" s="60"/>
      <c r="C650" s="60"/>
    </row>
    <row r="651">
      <c r="B651" s="60"/>
      <c r="C651" s="60"/>
    </row>
    <row r="652">
      <c r="B652" s="60"/>
      <c r="C652" s="60"/>
    </row>
    <row r="653">
      <c r="B653" s="60"/>
      <c r="C653" s="60"/>
    </row>
    <row r="654">
      <c r="B654" s="60"/>
      <c r="C654" s="60"/>
    </row>
    <row r="655">
      <c r="B655" s="60"/>
      <c r="C655" s="60"/>
    </row>
    <row r="656">
      <c r="B656" s="60"/>
      <c r="C656" s="60"/>
    </row>
    <row r="657">
      <c r="B657" s="60"/>
      <c r="C657" s="60"/>
    </row>
    <row r="658">
      <c r="B658" s="60"/>
      <c r="C658" s="60"/>
    </row>
    <row r="659">
      <c r="B659" s="60"/>
      <c r="C659" s="60"/>
    </row>
    <row r="660">
      <c r="B660" s="60"/>
      <c r="C660" s="60"/>
    </row>
    <row r="661">
      <c r="B661" s="60"/>
      <c r="C661" s="60"/>
    </row>
    <row r="662">
      <c r="B662" s="60"/>
      <c r="C662" s="60"/>
    </row>
    <row r="663">
      <c r="B663" s="60"/>
      <c r="C663" s="60"/>
    </row>
    <row r="664">
      <c r="B664" s="60"/>
      <c r="C664" s="60"/>
    </row>
    <row r="665">
      <c r="B665" s="60"/>
      <c r="C665" s="60"/>
    </row>
    <row r="666">
      <c r="B666" s="60"/>
      <c r="C666" s="60"/>
    </row>
    <row r="667">
      <c r="B667" s="60"/>
      <c r="C667" s="60"/>
    </row>
    <row r="668">
      <c r="B668" s="60"/>
      <c r="C668" s="60"/>
    </row>
    <row r="669">
      <c r="B669" s="60"/>
      <c r="C669" s="60"/>
    </row>
    <row r="670">
      <c r="B670" s="60"/>
      <c r="C670" s="60"/>
    </row>
    <row r="671">
      <c r="B671" s="60"/>
      <c r="C671" s="60"/>
    </row>
    <row r="672">
      <c r="B672" s="60"/>
      <c r="C672" s="60"/>
    </row>
    <row r="673">
      <c r="B673" s="60"/>
      <c r="C673" s="60"/>
    </row>
    <row r="674">
      <c r="B674" s="60"/>
      <c r="C674" s="60"/>
    </row>
    <row r="675">
      <c r="B675" s="60"/>
      <c r="C675" s="60"/>
    </row>
    <row r="676">
      <c r="B676" s="60"/>
      <c r="C676" s="60"/>
    </row>
    <row r="677">
      <c r="B677" s="60"/>
      <c r="C677" s="60"/>
    </row>
    <row r="678">
      <c r="B678" s="60"/>
      <c r="C678" s="60"/>
    </row>
    <row r="679">
      <c r="B679" s="60"/>
      <c r="C679" s="60"/>
    </row>
    <row r="680">
      <c r="B680" s="60"/>
      <c r="C680" s="60"/>
    </row>
    <row r="681">
      <c r="B681" s="60"/>
      <c r="C681" s="60"/>
    </row>
    <row r="682">
      <c r="B682" s="60"/>
      <c r="C682" s="60"/>
    </row>
    <row r="683">
      <c r="B683" s="60"/>
      <c r="C683" s="60"/>
    </row>
    <row r="684">
      <c r="B684" s="60"/>
      <c r="C684" s="60"/>
    </row>
    <row r="685">
      <c r="B685" s="60"/>
      <c r="C685" s="60"/>
    </row>
    <row r="686">
      <c r="B686" s="60"/>
      <c r="C686" s="60"/>
    </row>
    <row r="687">
      <c r="B687" s="60"/>
      <c r="C687" s="60"/>
    </row>
    <row r="688">
      <c r="B688" s="60"/>
      <c r="C688" s="60"/>
    </row>
    <row r="689">
      <c r="B689" s="60"/>
      <c r="C689" s="60"/>
    </row>
    <row r="690">
      <c r="B690" s="60"/>
      <c r="C690" s="60"/>
    </row>
    <row r="691">
      <c r="B691" s="60"/>
      <c r="C691" s="60"/>
    </row>
    <row r="692">
      <c r="B692" s="60"/>
      <c r="C692" s="60"/>
    </row>
    <row r="693">
      <c r="B693" s="60"/>
      <c r="C693" s="60"/>
    </row>
    <row r="694">
      <c r="B694" s="60"/>
      <c r="C694" s="60"/>
    </row>
    <row r="695">
      <c r="B695" s="60"/>
      <c r="C695" s="60"/>
    </row>
    <row r="696">
      <c r="B696" s="60"/>
      <c r="C696" s="60"/>
    </row>
    <row r="697">
      <c r="B697" s="60"/>
      <c r="C697" s="60"/>
    </row>
    <row r="698">
      <c r="B698" s="60"/>
      <c r="C698" s="60"/>
    </row>
    <row r="699">
      <c r="B699" s="60"/>
      <c r="C699" s="60"/>
    </row>
    <row r="700">
      <c r="B700" s="60"/>
      <c r="C700" s="60"/>
    </row>
    <row r="701">
      <c r="B701" s="60"/>
      <c r="C701" s="60"/>
    </row>
    <row r="702">
      <c r="B702" s="60"/>
      <c r="C702" s="60"/>
    </row>
    <row r="703">
      <c r="B703" s="60"/>
      <c r="C703" s="60"/>
    </row>
    <row r="704">
      <c r="B704" s="60"/>
      <c r="C704" s="60"/>
    </row>
    <row r="705">
      <c r="B705" s="60"/>
      <c r="C705" s="60"/>
    </row>
    <row r="706">
      <c r="B706" s="60"/>
      <c r="C706" s="60"/>
    </row>
    <row r="707">
      <c r="B707" s="60"/>
      <c r="C707" s="60"/>
    </row>
    <row r="708">
      <c r="B708" s="60"/>
      <c r="C708" s="60"/>
    </row>
    <row r="709">
      <c r="B709" s="60"/>
      <c r="C709" s="60"/>
    </row>
    <row r="710">
      <c r="B710" s="60"/>
      <c r="C710" s="60"/>
    </row>
    <row r="711">
      <c r="B711" s="60"/>
      <c r="C711" s="60"/>
    </row>
    <row r="712">
      <c r="B712" s="60"/>
      <c r="C712" s="60"/>
    </row>
    <row r="713">
      <c r="B713" s="60"/>
      <c r="C713" s="60"/>
    </row>
    <row r="714">
      <c r="B714" s="60"/>
      <c r="C714" s="60"/>
    </row>
    <row r="715">
      <c r="B715" s="60"/>
      <c r="C715" s="60"/>
    </row>
    <row r="716">
      <c r="B716" s="60"/>
      <c r="C716" s="60"/>
    </row>
    <row r="717">
      <c r="B717" s="60"/>
      <c r="C717" s="60"/>
    </row>
    <row r="718">
      <c r="B718" s="60"/>
      <c r="C718" s="60"/>
    </row>
    <row r="719">
      <c r="B719" s="60"/>
      <c r="C719" s="60"/>
    </row>
    <row r="720">
      <c r="B720" s="60"/>
      <c r="C720" s="60"/>
    </row>
    <row r="721">
      <c r="B721" s="60"/>
      <c r="C721" s="60"/>
    </row>
    <row r="722">
      <c r="B722" s="60"/>
      <c r="C722" s="60"/>
    </row>
    <row r="723">
      <c r="B723" s="60"/>
      <c r="C723" s="60"/>
    </row>
    <row r="724">
      <c r="B724" s="60"/>
      <c r="C724" s="60"/>
    </row>
    <row r="725">
      <c r="B725" s="60"/>
      <c r="C725" s="60"/>
    </row>
    <row r="726">
      <c r="B726" s="60"/>
      <c r="C726" s="60"/>
    </row>
    <row r="727">
      <c r="B727" s="60"/>
      <c r="C727" s="60"/>
    </row>
    <row r="728">
      <c r="B728" s="60"/>
      <c r="C728" s="60"/>
    </row>
    <row r="729">
      <c r="B729" s="60"/>
      <c r="C729" s="60"/>
    </row>
    <row r="730">
      <c r="B730" s="60"/>
      <c r="C730" s="60"/>
    </row>
    <row r="731">
      <c r="B731" s="60"/>
      <c r="C731" s="60"/>
    </row>
    <row r="732">
      <c r="B732" s="60"/>
      <c r="C732" s="60"/>
    </row>
    <row r="733">
      <c r="B733" s="60"/>
      <c r="C733" s="60"/>
    </row>
    <row r="734">
      <c r="B734" s="60"/>
      <c r="C734" s="60"/>
    </row>
    <row r="735">
      <c r="B735" s="60"/>
      <c r="C735" s="60"/>
    </row>
    <row r="736">
      <c r="B736" s="60"/>
      <c r="C736" s="60"/>
    </row>
    <row r="737">
      <c r="B737" s="60"/>
      <c r="C737" s="60"/>
    </row>
    <row r="738">
      <c r="B738" s="60"/>
      <c r="C738" s="60"/>
    </row>
    <row r="739">
      <c r="B739" s="60"/>
      <c r="C739" s="60"/>
    </row>
    <row r="740">
      <c r="B740" s="60"/>
      <c r="C740" s="60"/>
    </row>
    <row r="741">
      <c r="B741" s="60"/>
      <c r="C741" s="60"/>
    </row>
    <row r="742">
      <c r="B742" s="60"/>
      <c r="C742" s="60"/>
    </row>
    <row r="743">
      <c r="B743" s="60"/>
      <c r="C743" s="60"/>
    </row>
    <row r="744">
      <c r="B744" s="60"/>
      <c r="C744" s="60"/>
    </row>
    <row r="745">
      <c r="B745" s="60"/>
      <c r="C745" s="60"/>
    </row>
    <row r="746">
      <c r="B746" s="60"/>
      <c r="C746" s="60"/>
    </row>
    <row r="747">
      <c r="B747" s="60"/>
      <c r="C747" s="60"/>
    </row>
    <row r="748">
      <c r="B748" s="60"/>
      <c r="C748" s="60"/>
    </row>
    <row r="749">
      <c r="B749" s="60"/>
      <c r="C749" s="60"/>
    </row>
    <row r="750">
      <c r="B750" s="60"/>
      <c r="C750" s="60"/>
    </row>
    <row r="751">
      <c r="B751" s="60"/>
      <c r="C751" s="60"/>
    </row>
    <row r="752">
      <c r="B752" s="60"/>
      <c r="C752" s="60"/>
    </row>
    <row r="753">
      <c r="B753" s="60"/>
      <c r="C753" s="60"/>
    </row>
    <row r="754">
      <c r="B754" s="60"/>
      <c r="C754" s="60"/>
    </row>
    <row r="755">
      <c r="B755" s="60"/>
      <c r="C755" s="60"/>
    </row>
    <row r="756">
      <c r="B756" s="60"/>
      <c r="C756" s="60"/>
    </row>
    <row r="757">
      <c r="B757" s="60"/>
      <c r="C757" s="60"/>
    </row>
    <row r="758">
      <c r="B758" s="60"/>
      <c r="C758" s="60"/>
    </row>
    <row r="759">
      <c r="B759" s="60"/>
      <c r="C759" s="60"/>
    </row>
    <row r="760">
      <c r="B760" s="60"/>
      <c r="C760" s="60"/>
    </row>
    <row r="761">
      <c r="B761" s="60"/>
      <c r="C761" s="60"/>
    </row>
    <row r="762">
      <c r="B762" s="60"/>
      <c r="C762" s="60"/>
    </row>
    <row r="763">
      <c r="B763" s="60"/>
      <c r="C763" s="60"/>
    </row>
    <row r="764">
      <c r="B764" s="60"/>
      <c r="C764" s="60"/>
    </row>
    <row r="765">
      <c r="B765" s="60"/>
      <c r="C765" s="60"/>
    </row>
    <row r="766">
      <c r="B766" s="60"/>
      <c r="C766" s="60"/>
    </row>
    <row r="767">
      <c r="B767" s="60"/>
      <c r="C767" s="60"/>
    </row>
    <row r="768">
      <c r="B768" s="60"/>
      <c r="C768" s="60"/>
    </row>
    <row r="769">
      <c r="B769" s="60"/>
      <c r="C769" s="60"/>
    </row>
    <row r="770">
      <c r="B770" s="60"/>
      <c r="C770" s="60"/>
    </row>
    <row r="771">
      <c r="B771" s="60"/>
      <c r="C771" s="60"/>
    </row>
    <row r="772">
      <c r="B772" s="60"/>
      <c r="C772" s="60"/>
    </row>
    <row r="773">
      <c r="B773" s="60"/>
      <c r="C773" s="60"/>
    </row>
    <row r="774">
      <c r="B774" s="60"/>
      <c r="C774" s="60"/>
    </row>
    <row r="775">
      <c r="B775" s="60"/>
      <c r="C775" s="60"/>
    </row>
    <row r="776">
      <c r="B776" s="60"/>
      <c r="C776" s="60"/>
    </row>
    <row r="777">
      <c r="B777" s="60"/>
      <c r="C777" s="60"/>
    </row>
    <row r="778">
      <c r="B778" s="60"/>
      <c r="C778" s="60"/>
    </row>
    <row r="779">
      <c r="B779" s="60"/>
      <c r="C779" s="60"/>
    </row>
    <row r="780">
      <c r="B780" s="60"/>
      <c r="C780" s="60"/>
    </row>
    <row r="781">
      <c r="B781" s="60"/>
      <c r="C781" s="60"/>
    </row>
    <row r="782">
      <c r="B782" s="60"/>
      <c r="C782" s="60"/>
    </row>
    <row r="783">
      <c r="B783" s="60"/>
      <c r="C783" s="60"/>
    </row>
    <row r="784">
      <c r="B784" s="60"/>
      <c r="C784" s="60"/>
    </row>
    <row r="785">
      <c r="B785" s="60"/>
      <c r="C785" s="60"/>
    </row>
    <row r="786">
      <c r="B786" s="60"/>
      <c r="C786" s="60"/>
    </row>
    <row r="787">
      <c r="B787" s="60"/>
      <c r="C787" s="60"/>
    </row>
    <row r="788">
      <c r="B788" s="60"/>
      <c r="C788" s="60"/>
    </row>
    <row r="789">
      <c r="B789" s="60"/>
      <c r="C789" s="60"/>
    </row>
    <row r="790">
      <c r="B790" s="60"/>
      <c r="C790" s="60"/>
    </row>
    <row r="791">
      <c r="B791" s="60"/>
      <c r="C791" s="60"/>
    </row>
    <row r="792">
      <c r="B792" s="60"/>
      <c r="C792" s="60"/>
    </row>
    <row r="793">
      <c r="B793" s="60"/>
      <c r="C793" s="60"/>
    </row>
    <row r="794">
      <c r="B794" s="60"/>
      <c r="C794" s="60"/>
    </row>
    <row r="795">
      <c r="B795" s="60"/>
      <c r="C795" s="60"/>
    </row>
    <row r="796">
      <c r="B796" s="60"/>
      <c r="C796" s="60"/>
    </row>
    <row r="797">
      <c r="B797" s="60"/>
      <c r="C797" s="60"/>
    </row>
    <row r="798">
      <c r="B798" s="60"/>
      <c r="C798" s="60"/>
    </row>
    <row r="799">
      <c r="B799" s="60"/>
      <c r="C799" s="60"/>
    </row>
    <row r="800">
      <c r="B800" s="60"/>
      <c r="C800" s="60"/>
    </row>
    <row r="801">
      <c r="B801" s="60"/>
      <c r="C801" s="60"/>
    </row>
    <row r="802">
      <c r="B802" s="60"/>
      <c r="C802" s="60"/>
    </row>
    <row r="803">
      <c r="B803" s="60"/>
      <c r="C803" s="60"/>
    </row>
    <row r="804">
      <c r="B804" s="60"/>
      <c r="C804" s="60"/>
    </row>
    <row r="805">
      <c r="B805" s="60"/>
      <c r="C805" s="60"/>
    </row>
    <row r="806">
      <c r="B806" s="60"/>
      <c r="C806" s="60"/>
    </row>
    <row r="807">
      <c r="B807" s="60"/>
      <c r="C807" s="60"/>
    </row>
    <row r="808">
      <c r="B808" s="60"/>
      <c r="C808" s="60"/>
    </row>
    <row r="809">
      <c r="B809" s="60"/>
      <c r="C809" s="60"/>
    </row>
    <row r="810">
      <c r="B810" s="60"/>
      <c r="C810" s="60"/>
    </row>
    <row r="811">
      <c r="B811" s="60"/>
      <c r="C811" s="60"/>
    </row>
    <row r="812">
      <c r="B812" s="60"/>
      <c r="C812" s="60"/>
    </row>
    <row r="813">
      <c r="B813" s="60"/>
      <c r="C813" s="60"/>
    </row>
    <row r="814">
      <c r="B814" s="60"/>
      <c r="C814" s="60"/>
    </row>
    <row r="815">
      <c r="B815" s="60"/>
      <c r="C815" s="60"/>
    </row>
    <row r="816">
      <c r="B816" s="60"/>
      <c r="C816" s="60"/>
    </row>
    <row r="817">
      <c r="B817" s="60"/>
      <c r="C817" s="60"/>
    </row>
    <row r="818">
      <c r="B818" s="60"/>
      <c r="C818" s="60"/>
    </row>
    <row r="819">
      <c r="B819" s="60"/>
      <c r="C819" s="60"/>
    </row>
    <row r="820">
      <c r="B820" s="60"/>
      <c r="C820" s="60"/>
    </row>
    <row r="821">
      <c r="B821" s="60"/>
      <c r="C821" s="60"/>
    </row>
    <row r="822">
      <c r="B822" s="60"/>
      <c r="C822" s="60"/>
    </row>
    <row r="823">
      <c r="B823" s="60"/>
      <c r="C823" s="60"/>
    </row>
    <row r="824">
      <c r="B824" s="60"/>
      <c r="C824" s="60"/>
    </row>
    <row r="825">
      <c r="B825" s="60"/>
      <c r="C825" s="60"/>
    </row>
    <row r="826">
      <c r="B826" s="60"/>
      <c r="C826" s="60"/>
    </row>
    <row r="827">
      <c r="B827" s="60"/>
      <c r="C827" s="60"/>
    </row>
    <row r="828">
      <c r="B828" s="60"/>
      <c r="C828" s="60"/>
    </row>
    <row r="829">
      <c r="B829" s="60"/>
      <c r="C829" s="60"/>
    </row>
    <row r="830">
      <c r="B830" s="60"/>
      <c r="C830" s="60"/>
    </row>
    <row r="831">
      <c r="B831" s="60"/>
      <c r="C831" s="60"/>
    </row>
    <row r="832">
      <c r="B832" s="60"/>
      <c r="C832" s="60"/>
    </row>
    <row r="833">
      <c r="B833" s="60"/>
      <c r="C833" s="60"/>
    </row>
    <row r="834">
      <c r="B834" s="60"/>
      <c r="C834" s="60"/>
    </row>
    <row r="835">
      <c r="B835" s="60"/>
      <c r="C835" s="60"/>
    </row>
    <row r="836">
      <c r="B836" s="60"/>
      <c r="C836" s="60"/>
    </row>
    <row r="837">
      <c r="B837" s="60"/>
      <c r="C837" s="60"/>
    </row>
    <row r="838">
      <c r="B838" s="60"/>
      <c r="C838" s="60"/>
    </row>
    <row r="839">
      <c r="B839" s="60"/>
      <c r="C839" s="60"/>
    </row>
    <row r="840">
      <c r="B840" s="60"/>
      <c r="C840" s="60"/>
    </row>
    <row r="841">
      <c r="B841" s="60"/>
      <c r="C841" s="60"/>
    </row>
    <row r="842">
      <c r="B842" s="60"/>
      <c r="C842" s="60"/>
    </row>
    <row r="843">
      <c r="B843" s="60"/>
      <c r="C843" s="60"/>
    </row>
    <row r="844">
      <c r="B844" s="60"/>
      <c r="C844" s="60"/>
    </row>
    <row r="845">
      <c r="B845" s="60"/>
      <c r="C845" s="60"/>
    </row>
    <row r="846">
      <c r="B846" s="60"/>
      <c r="C846" s="60"/>
    </row>
    <row r="847">
      <c r="B847" s="60"/>
      <c r="C847" s="60"/>
    </row>
    <row r="848">
      <c r="B848" s="60"/>
      <c r="C848" s="60"/>
    </row>
    <row r="849">
      <c r="B849" s="60"/>
      <c r="C849" s="60"/>
    </row>
    <row r="850">
      <c r="B850" s="60"/>
      <c r="C850" s="60"/>
    </row>
    <row r="851">
      <c r="B851" s="60"/>
      <c r="C851" s="60"/>
    </row>
    <row r="852">
      <c r="B852" s="60"/>
      <c r="C852" s="60"/>
    </row>
    <row r="853">
      <c r="B853" s="60"/>
      <c r="C853" s="60"/>
    </row>
    <row r="854">
      <c r="B854" s="60"/>
      <c r="C854" s="60"/>
    </row>
    <row r="855">
      <c r="B855" s="60"/>
      <c r="C855" s="60"/>
    </row>
    <row r="856">
      <c r="B856" s="60"/>
      <c r="C856" s="60"/>
    </row>
    <row r="857">
      <c r="B857" s="60"/>
      <c r="C857" s="60"/>
    </row>
    <row r="858">
      <c r="B858" s="60"/>
      <c r="C858" s="60"/>
    </row>
    <row r="859">
      <c r="B859" s="60"/>
      <c r="C859" s="60"/>
    </row>
    <row r="860">
      <c r="B860" s="60"/>
      <c r="C860" s="60"/>
    </row>
    <row r="861">
      <c r="B861" s="60"/>
      <c r="C861" s="60"/>
    </row>
    <row r="862">
      <c r="B862" s="60"/>
      <c r="C862" s="60"/>
    </row>
    <row r="863">
      <c r="B863" s="60"/>
      <c r="C863" s="60"/>
    </row>
    <row r="864">
      <c r="B864" s="60"/>
      <c r="C864" s="60"/>
    </row>
    <row r="865">
      <c r="B865" s="60"/>
      <c r="C865" s="60"/>
    </row>
    <row r="866">
      <c r="B866" s="60"/>
      <c r="C866" s="60"/>
    </row>
    <row r="867">
      <c r="B867" s="60"/>
      <c r="C867" s="60"/>
    </row>
    <row r="868">
      <c r="B868" s="60"/>
      <c r="C868" s="60"/>
    </row>
    <row r="869">
      <c r="B869" s="60"/>
      <c r="C869" s="60"/>
    </row>
    <row r="870">
      <c r="B870" s="60"/>
      <c r="C870" s="60"/>
    </row>
    <row r="871">
      <c r="B871" s="60"/>
      <c r="C871" s="60"/>
    </row>
    <row r="872">
      <c r="B872" s="60"/>
      <c r="C872" s="60"/>
    </row>
    <row r="873">
      <c r="B873" s="60"/>
      <c r="C873" s="60"/>
    </row>
    <row r="874">
      <c r="B874" s="60"/>
      <c r="C874" s="60"/>
    </row>
    <row r="875">
      <c r="B875" s="60"/>
      <c r="C875" s="60"/>
    </row>
    <row r="876">
      <c r="B876" s="60"/>
      <c r="C876" s="60"/>
    </row>
    <row r="877">
      <c r="B877" s="60"/>
      <c r="C877" s="60"/>
    </row>
    <row r="878">
      <c r="B878" s="60"/>
      <c r="C878" s="60"/>
    </row>
    <row r="879">
      <c r="B879" s="60"/>
      <c r="C879" s="60"/>
    </row>
    <row r="880">
      <c r="B880" s="60"/>
      <c r="C880" s="60"/>
    </row>
    <row r="881">
      <c r="B881" s="60"/>
      <c r="C881" s="60"/>
    </row>
    <row r="882">
      <c r="B882" s="60"/>
      <c r="C882" s="60"/>
    </row>
    <row r="883">
      <c r="B883" s="60"/>
      <c r="C883" s="60"/>
    </row>
    <row r="884">
      <c r="B884" s="60"/>
      <c r="C884" s="60"/>
    </row>
    <row r="885">
      <c r="B885" s="60"/>
      <c r="C885" s="60"/>
    </row>
    <row r="886">
      <c r="B886" s="60"/>
      <c r="C886" s="60"/>
    </row>
    <row r="887">
      <c r="B887" s="60"/>
      <c r="C887" s="60"/>
    </row>
    <row r="888">
      <c r="B888" s="60"/>
      <c r="C888" s="60"/>
    </row>
    <row r="889">
      <c r="B889" s="60"/>
      <c r="C889" s="60"/>
    </row>
    <row r="890">
      <c r="B890" s="60"/>
      <c r="C890" s="60"/>
    </row>
    <row r="891">
      <c r="B891" s="60"/>
      <c r="C891" s="60"/>
    </row>
    <row r="892">
      <c r="B892" s="60"/>
      <c r="C892" s="60"/>
    </row>
    <row r="893">
      <c r="B893" s="60"/>
      <c r="C893" s="60"/>
    </row>
    <row r="894">
      <c r="B894" s="60"/>
      <c r="C894" s="60"/>
    </row>
    <row r="895">
      <c r="B895" s="60"/>
      <c r="C895" s="60"/>
    </row>
    <row r="896">
      <c r="B896" s="60"/>
      <c r="C896" s="60"/>
    </row>
    <row r="897">
      <c r="B897" s="60"/>
      <c r="C897" s="60"/>
    </row>
    <row r="898">
      <c r="B898" s="60"/>
      <c r="C898" s="60"/>
    </row>
    <row r="899">
      <c r="B899" s="60"/>
      <c r="C899" s="60"/>
    </row>
    <row r="900">
      <c r="B900" s="60"/>
      <c r="C900" s="60"/>
    </row>
    <row r="901">
      <c r="B901" s="60"/>
      <c r="C901" s="60"/>
    </row>
    <row r="902">
      <c r="B902" s="60"/>
      <c r="C902" s="60"/>
    </row>
    <row r="903">
      <c r="B903" s="60"/>
      <c r="C903" s="60"/>
    </row>
    <row r="904">
      <c r="B904" s="60"/>
      <c r="C904" s="60"/>
    </row>
    <row r="905">
      <c r="B905" s="60"/>
      <c r="C905" s="60"/>
    </row>
    <row r="906">
      <c r="B906" s="60"/>
      <c r="C906" s="60"/>
    </row>
    <row r="907">
      <c r="B907" s="60"/>
      <c r="C907" s="60"/>
    </row>
    <row r="908">
      <c r="B908" s="60"/>
      <c r="C908" s="60"/>
    </row>
    <row r="909">
      <c r="B909" s="60"/>
      <c r="C909" s="60"/>
    </row>
    <row r="910">
      <c r="B910" s="60"/>
      <c r="C910" s="60"/>
    </row>
    <row r="911">
      <c r="B911" s="60"/>
      <c r="C911" s="60"/>
    </row>
    <row r="912">
      <c r="B912" s="60"/>
      <c r="C912" s="60"/>
    </row>
    <row r="913">
      <c r="B913" s="60"/>
      <c r="C913" s="60"/>
    </row>
    <row r="914">
      <c r="B914" s="60"/>
      <c r="C914" s="60"/>
    </row>
    <row r="915">
      <c r="B915" s="60"/>
      <c r="C915" s="60"/>
    </row>
    <row r="916">
      <c r="B916" s="60"/>
      <c r="C916" s="60"/>
    </row>
    <row r="917">
      <c r="B917" s="60"/>
      <c r="C917" s="60"/>
    </row>
    <row r="918">
      <c r="B918" s="60"/>
      <c r="C918" s="60"/>
    </row>
    <row r="919">
      <c r="B919" s="60"/>
      <c r="C919" s="60"/>
    </row>
    <row r="920">
      <c r="B920" s="60"/>
      <c r="C920" s="60"/>
    </row>
    <row r="921">
      <c r="B921" s="60"/>
      <c r="C921" s="60"/>
    </row>
    <row r="922">
      <c r="B922" s="60"/>
      <c r="C922" s="60"/>
    </row>
    <row r="923">
      <c r="B923" s="60"/>
      <c r="C923" s="60"/>
    </row>
    <row r="924">
      <c r="B924" s="60"/>
      <c r="C924" s="60"/>
    </row>
    <row r="925">
      <c r="B925" s="60"/>
      <c r="C925" s="60"/>
    </row>
    <row r="926">
      <c r="B926" s="60"/>
      <c r="C926" s="60"/>
    </row>
    <row r="927">
      <c r="B927" s="60"/>
      <c r="C927" s="60"/>
    </row>
    <row r="928">
      <c r="B928" s="60"/>
      <c r="C928" s="60"/>
    </row>
    <row r="929">
      <c r="B929" s="60"/>
      <c r="C929" s="60"/>
    </row>
    <row r="930">
      <c r="B930" s="60"/>
      <c r="C930" s="60"/>
    </row>
    <row r="931">
      <c r="B931" s="60"/>
      <c r="C931" s="60"/>
    </row>
    <row r="932">
      <c r="B932" s="60"/>
      <c r="C932" s="60"/>
    </row>
    <row r="933">
      <c r="B933" s="60"/>
      <c r="C933" s="60"/>
    </row>
    <row r="934">
      <c r="B934" s="60"/>
      <c r="C934" s="60"/>
    </row>
    <row r="935">
      <c r="B935" s="60"/>
      <c r="C935" s="60"/>
    </row>
    <row r="936">
      <c r="B936" s="60"/>
      <c r="C936" s="60"/>
    </row>
    <row r="937">
      <c r="B937" s="60"/>
      <c r="C937" s="60"/>
    </row>
    <row r="938">
      <c r="B938" s="60"/>
      <c r="C938" s="60"/>
    </row>
    <row r="939">
      <c r="B939" s="60"/>
      <c r="C939" s="60"/>
    </row>
    <row r="940">
      <c r="B940" s="60"/>
      <c r="C940" s="60"/>
    </row>
    <row r="941">
      <c r="B941" s="60"/>
      <c r="C941" s="60"/>
    </row>
    <row r="942">
      <c r="B942" s="60"/>
      <c r="C942" s="60"/>
    </row>
    <row r="943">
      <c r="B943" s="60"/>
      <c r="C943" s="60"/>
    </row>
    <row r="944">
      <c r="B944" s="60"/>
      <c r="C944" s="60"/>
    </row>
    <row r="945">
      <c r="B945" s="60"/>
      <c r="C945" s="60"/>
    </row>
    <row r="946">
      <c r="B946" s="60"/>
      <c r="C946" s="60"/>
    </row>
    <row r="947">
      <c r="B947" s="60"/>
      <c r="C947" s="60"/>
    </row>
    <row r="948">
      <c r="B948" s="60"/>
      <c r="C948" s="60"/>
    </row>
    <row r="949">
      <c r="B949" s="60"/>
      <c r="C949" s="60"/>
    </row>
    <row r="950">
      <c r="B950" s="60"/>
      <c r="C950" s="60"/>
    </row>
    <row r="951">
      <c r="B951" s="60"/>
      <c r="C951" s="60"/>
    </row>
    <row r="952">
      <c r="B952" s="60"/>
      <c r="C952" s="60"/>
    </row>
    <row r="953">
      <c r="B953" s="60"/>
      <c r="C953" s="60"/>
    </row>
    <row r="954">
      <c r="B954" s="60"/>
      <c r="C954" s="60"/>
    </row>
    <row r="955">
      <c r="B955" s="60"/>
      <c r="C955" s="60"/>
    </row>
    <row r="956">
      <c r="B956" s="60"/>
      <c r="C956" s="60"/>
    </row>
    <row r="957">
      <c r="B957" s="60"/>
      <c r="C957" s="60"/>
    </row>
    <row r="958">
      <c r="B958" s="60"/>
      <c r="C958" s="60"/>
    </row>
    <row r="959">
      <c r="B959" s="60"/>
      <c r="C959" s="60"/>
    </row>
    <row r="960">
      <c r="B960" s="60"/>
      <c r="C960" s="60"/>
    </row>
    <row r="961">
      <c r="B961" s="60"/>
      <c r="C961" s="60"/>
    </row>
    <row r="962">
      <c r="B962" s="60"/>
      <c r="C962" s="60"/>
    </row>
    <row r="963">
      <c r="B963" s="60"/>
      <c r="C963" s="60"/>
    </row>
    <row r="964">
      <c r="B964" s="60"/>
      <c r="C964" s="60"/>
    </row>
    <row r="965">
      <c r="B965" s="60"/>
      <c r="C965" s="60"/>
    </row>
    <row r="966">
      <c r="B966" s="60"/>
      <c r="C966" s="60"/>
    </row>
    <row r="967">
      <c r="B967" s="60"/>
      <c r="C967" s="60"/>
    </row>
    <row r="968">
      <c r="B968" s="60"/>
      <c r="C968" s="60"/>
    </row>
    <row r="969">
      <c r="B969" s="60"/>
      <c r="C969" s="60"/>
    </row>
    <row r="970">
      <c r="B970" s="60"/>
      <c r="C970" s="60"/>
    </row>
    <row r="971">
      <c r="B971" s="60"/>
      <c r="C971" s="60"/>
    </row>
    <row r="972">
      <c r="B972" s="60"/>
      <c r="C972" s="60"/>
    </row>
    <row r="973">
      <c r="B973" s="60"/>
      <c r="C973" s="60"/>
    </row>
    <row r="974">
      <c r="B974" s="60"/>
      <c r="C974" s="60"/>
    </row>
    <row r="975">
      <c r="B975" s="60"/>
      <c r="C975" s="60"/>
    </row>
    <row r="976">
      <c r="B976" s="60"/>
      <c r="C976" s="60"/>
    </row>
    <row r="977">
      <c r="B977" s="60"/>
      <c r="C977" s="60"/>
    </row>
    <row r="978">
      <c r="B978" s="60"/>
      <c r="C978" s="60"/>
    </row>
    <row r="979">
      <c r="B979" s="60"/>
      <c r="C979" s="60"/>
    </row>
    <row r="980">
      <c r="B980" s="60"/>
      <c r="C980" s="60"/>
    </row>
    <row r="981">
      <c r="B981" s="60"/>
      <c r="C981" s="60"/>
    </row>
    <row r="982">
      <c r="B982" s="60"/>
      <c r="C982" s="60"/>
    </row>
    <row r="983">
      <c r="B983" s="60"/>
      <c r="C983" s="60"/>
    </row>
    <row r="984">
      <c r="B984" s="60"/>
      <c r="C984" s="60"/>
    </row>
    <row r="985">
      <c r="B985" s="60"/>
      <c r="C985" s="60"/>
    </row>
    <row r="986">
      <c r="B986" s="60"/>
      <c r="C986" s="60"/>
    </row>
    <row r="987">
      <c r="B987" s="60"/>
      <c r="C987" s="60"/>
    </row>
    <row r="988">
      <c r="B988" s="60"/>
      <c r="C988" s="60"/>
    </row>
    <row r="989">
      <c r="B989" s="60"/>
      <c r="C989" s="60"/>
    </row>
    <row r="990">
      <c r="B990" s="60"/>
      <c r="C990" s="60"/>
    </row>
    <row r="991">
      <c r="B991" s="60"/>
      <c r="C991" s="60"/>
    </row>
    <row r="992">
      <c r="B992" s="60"/>
      <c r="C992" s="60"/>
    </row>
    <row r="993">
      <c r="B993" s="60"/>
      <c r="C993" s="60"/>
    </row>
    <row r="994">
      <c r="B994" s="60"/>
      <c r="C994" s="60"/>
    </row>
    <row r="995">
      <c r="B995" s="60"/>
      <c r="C995" s="60"/>
    </row>
    <row r="996">
      <c r="B996" s="60"/>
      <c r="C996" s="60"/>
    </row>
    <row r="997">
      <c r="B997" s="60"/>
      <c r="C997" s="60"/>
    </row>
    <row r="998">
      <c r="B998" s="60"/>
      <c r="C998" s="60"/>
    </row>
    <row r="999">
      <c r="B999" s="60"/>
      <c r="C999" s="60"/>
    </row>
    <row r="1000">
      <c r="B1000" s="60"/>
      <c r="C1000" s="60"/>
    </row>
  </sheetData>
  <mergeCells count="9">
    <mergeCell ref="D19:F19"/>
    <mergeCell ref="D20:F20"/>
    <mergeCell ref="B1:C1"/>
    <mergeCell ref="D9:F9"/>
    <mergeCell ref="D10:F10"/>
    <mergeCell ref="D11:F11"/>
    <mergeCell ref="D12:F12"/>
    <mergeCell ref="D17:F17"/>
    <mergeCell ref="D18:F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0"/>
    <col customWidth="1" min="8" max="8" width="12.63"/>
    <col customWidth="1" min="9" max="9" width="15.38"/>
    <col customWidth="1" min="10" max="10" width="15.63"/>
    <col customWidth="1" min="11" max="11" width="14.25"/>
  </cols>
  <sheetData>
    <row r="1">
      <c r="B1" s="67" t="s">
        <v>238</v>
      </c>
      <c r="C1" s="67" t="s">
        <v>239</v>
      </c>
      <c r="D1" s="67" t="s">
        <v>240</v>
      </c>
      <c r="E1" s="67" t="s">
        <v>241</v>
      </c>
      <c r="F1" s="68"/>
    </row>
    <row r="2">
      <c r="B2" s="15" t="s">
        <v>200</v>
      </c>
      <c r="C2" s="65">
        <f>COUNTIF(mercado_acoes!C:C,B2)</f>
        <v>20</v>
      </c>
      <c r="D2" s="52">
        <f>SUMIF(mercado_acoes!C:C,B2,mercado_acoes!F:F)</f>
        <v>496.35</v>
      </c>
      <c r="E2" s="52">
        <f>AVERAGEIF(mercado_acoes!C:C,B2,mercado_acoes!F:F)</f>
        <v>24.8175</v>
      </c>
      <c r="F2" s="60"/>
      <c r="H2" s="69" t="s">
        <v>242</v>
      </c>
      <c r="I2" s="69" t="s">
        <v>243</v>
      </c>
      <c r="J2" s="69" t="s">
        <v>244</v>
      </c>
      <c r="K2" s="69" t="s">
        <v>243</v>
      </c>
    </row>
    <row r="3">
      <c r="B3" s="15" t="s">
        <v>18</v>
      </c>
      <c r="C3" s="65">
        <f>COUNTIF(mercado_acoes!C:C,B3)</f>
        <v>20</v>
      </c>
      <c r="D3" s="52">
        <f>SUMIF(mercado_acoes!C:C,B3,mercado_acoes!F:F)</f>
        <v>461.11</v>
      </c>
      <c r="E3" s="52">
        <f>AVERAGEIF(mercado_acoes!C:C,B3,mercado_acoes!F:F)</f>
        <v>23.0555</v>
      </c>
      <c r="F3" s="60"/>
      <c r="H3" s="70" t="s">
        <v>245</v>
      </c>
      <c r="I3" s="69" t="s">
        <v>246</v>
      </c>
      <c r="J3" s="69" t="s">
        <v>247</v>
      </c>
      <c r="K3" s="69" t="s">
        <v>246</v>
      </c>
    </row>
    <row r="4">
      <c r="B4" s="15" t="s">
        <v>37</v>
      </c>
      <c r="C4" s="65">
        <f>COUNTIF(mercado_acoes!C:C,B4)</f>
        <v>20</v>
      </c>
      <c r="D4" s="52">
        <f>SUMIF(mercado_acoes!C:C,B4,mercado_acoes!F:F)</f>
        <v>469.72</v>
      </c>
      <c r="E4" s="52">
        <f>AVERAGEIF(mercado_acoes!C:C,B4,mercado_acoes!F:F)</f>
        <v>23.486</v>
      </c>
      <c r="F4" s="60"/>
      <c r="H4" s="70" t="s">
        <v>248</v>
      </c>
      <c r="I4" s="69" t="s">
        <v>249</v>
      </c>
      <c r="J4" s="69" t="s">
        <v>250</v>
      </c>
      <c r="K4" s="69" t="s">
        <v>251</v>
      </c>
    </row>
    <row r="5">
      <c r="B5" s="60"/>
      <c r="C5" s="60"/>
      <c r="D5" s="60"/>
      <c r="E5" s="60"/>
      <c r="F5" s="60"/>
      <c r="H5" s="70" t="s">
        <v>252</v>
      </c>
      <c r="I5" s="69" t="s">
        <v>253</v>
      </c>
      <c r="J5" s="71"/>
      <c r="K5" s="71"/>
    </row>
    <row r="6">
      <c r="B6" s="72" t="s">
        <v>254</v>
      </c>
      <c r="C6" s="49"/>
      <c r="D6" s="72" t="s">
        <v>255</v>
      </c>
      <c r="E6" s="63"/>
      <c r="F6" s="49"/>
    </row>
    <row r="7">
      <c r="B7" s="73" t="str">
        <f>IF(C2&gt;=20,H3,IF(C2&gt;=5,H4,H5))</f>
        <v>“Perfil Agressivo”</v>
      </c>
      <c r="C7" s="49"/>
      <c r="D7" s="74" t="str">
        <f>IF(E2&gt;=20,J3,J4)</f>
        <v>Grandes Transações</v>
      </c>
      <c r="E7" s="63"/>
      <c r="F7" s="49"/>
      <c r="H7" s="61" t="s">
        <v>236</v>
      </c>
      <c r="I7" s="61" t="s">
        <v>237</v>
      </c>
      <c r="J7" s="62" t="s">
        <v>238</v>
      </c>
      <c r="K7" s="63"/>
      <c r="L7" s="49"/>
    </row>
    <row r="8">
      <c r="B8" s="73" t="str">
        <f>IF(C3&gt;=20,H3,IF(C3&gt;=5,H4,H5))</f>
        <v>“Perfil Agressivo”</v>
      </c>
      <c r="C8" s="49"/>
      <c r="D8" s="74" t="str">
        <f>IF(E3&gt;=20,J3,J4)</f>
        <v>Grandes Transações</v>
      </c>
      <c r="E8" s="63"/>
      <c r="F8" s="49"/>
      <c r="H8" s="64">
        <v>50.0</v>
      </c>
      <c r="I8" s="65" t="str">
        <f>VLOOKUP(H8,mercado_acoes!A:B,2,FALSE)</f>
        <v>Camila Rocha</v>
      </c>
      <c r="J8" s="66" t="str">
        <f>VLOOKUP(I8,mercado_acoes!B:C,2,FALSE)</f>
        <v>camila.rocha10@exemplo.com</v>
      </c>
      <c r="K8" s="63"/>
      <c r="L8" s="49"/>
    </row>
    <row r="9">
      <c r="B9" s="73" t="str">
        <f>IF(C4&gt;=20,H3,IF(C4&gt;=5,H4,H5))</f>
        <v>“Perfil Agressivo”</v>
      </c>
      <c r="C9" s="49"/>
      <c r="D9" s="74" t="str">
        <f>IF(E4&gt;=20,J3,J4)</f>
        <v>Grandes Transações</v>
      </c>
      <c r="E9" s="63"/>
      <c r="F9" s="49"/>
      <c r="H9" s="64">
        <v>5.0</v>
      </c>
      <c r="I9" s="65" t="str">
        <f>VLOOKUP(H9,mercado_acoes!A:B,2,FALSE)</f>
        <v>Bruno Rodrigues</v>
      </c>
      <c r="J9" s="66" t="str">
        <f>VLOOKUP(I9,mercado_acoes!B:C,2,FALSE)</f>
        <v>bruno.rodrigues89@exemplo.com</v>
      </c>
      <c r="K9" s="63"/>
      <c r="L9" s="49"/>
    </row>
    <row r="10">
      <c r="B10" s="75"/>
      <c r="D10" s="60"/>
      <c r="E10" s="60"/>
      <c r="F10" s="60"/>
      <c r="H10" s="64">
        <v>50.0</v>
      </c>
      <c r="I10" s="65" t="str">
        <f>VLOOKUP(H10,mercado_acoes!A:B,2,FALSE)</f>
        <v>Camila Rocha</v>
      </c>
      <c r="J10" s="66" t="str">
        <f>VLOOKUP(I10,mercado_acoes!B:C,2,FALSE)</f>
        <v>camila.rocha10@exemplo.com</v>
      </c>
      <c r="K10" s="63"/>
      <c r="L10" s="49"/>
    </row>
    <row r="11">
      <c r="B11" s="60"/>
      <c r="C11" s="60"/>
      <c r="D11" s="60"/>
      <c r="E11" s="60"/>
      <c r="F11" s="60"/>
    </row>
    <row r="12">
      <c r="B12" s="60"/>
      <c r="C12" s="60"/>
      <c r="D12" s="60"/>
      <c r="E12" s="60"/>
      <c r="F12" s="60"/>
    </row>
    <row r="13">
      <c r="B13" s="60"/>
      <c r="C13" s="60"/>
      <c r="D13" s="60"/>
      <c r="E13" s="60"/>
      <c r="F13" s="60"/>
    </row>
    <row r="14">
      <c r="B14" s="60"/>
      <c r="C14" s="60"/>
      <c r="D14" s="60"/>
      <c r="E14" s="60"/>
      <c r="F14" s="60"/>
    </row>
    <row r="15">
      <c r="C15" s="76"/>
      <c r="D15" s="77"/>
      <c r="E15" s="76"/>
      <c r="F15" s="77"/>
      <c r="G15" s="76"/>
    </row>
    <row r="16">
      <c r="B16" s="60"/>
      <c r="C16" s="60"/>
      <c r="D16" s="60"/>
      <c r="E16" s="60"/>
      <c r="F16" s="60"/>
    </row>
  </sheetData>
  <mergeCells count="13">
    <mergeCell ref="B8:C8"/>
    <mergeCell ref="B9:C9"/>
    <mergeCell ref="D9:F9"/>
    <mergeCell ref="B10:C10"/>
    <mergeCell ref="J9:L9"/>
    <mergeCell ref="J10:L10"/>
    <mergeCell ref="B6:C6"/>
    <mergeCell ref="D6:F6"/>
    <mergeCell ref="B7:C7"/>
    <mergeCell ref="D7:F7"/>
    <mergeCell ref="J7:L7"/>
    <mergeCell ref="D8:F8"/>
    <mergeCell ref="J8:L8"/>
  </mergeCells>
  <hyperlinks>
    <hyperlink r:id="rId1" ref="B2"/>
    <hyperlink r:id="rId2" ref="B3"/>
    <hyperlink r:id="rId3" ref="B4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0"/>
  </cols>
  <sheetData>
    <row r="1">
      <c r="A1" s="78" t="s">
        <v>10</v>
      </c>
      <c r="B1" s="78" t="s">
        <v>11</v>
      </c>
      <c r="C1" s="78" t="s">
        <v>256</v>
      </c>
      <c r="E1" s="79" t="s">
        <v>257</v>
      </c>
      <c r="F1" s="49"/>
      <c r="G1" s="79" t="s">
        <v>258</v>
      </c>
      <c r="H1" s="49"/>
      <c r="I1" s="60"/>
      <c r="J1" s="60"/>
    </row>
    <row r="2">
      <c r="A2" s="64">
        <v>1.0</v>
      </c>
      <c r="B2" s="64">
        <v>2023.0</v>
      </c>
      <c r="C2" s="80">
        <f>COUNTIFS(mercado_acoes!G:G,"&gt;=01/01/2023",mercado_acoes!G:G,"&lt;=31/01/2023")</f>
        <v>152</v>
      </c>
      <c r="D2" s="49"/>
      <c r="E2" s="81">
        <f>FORECAST(12,C2:C12,A2:A12)</f>
        <v>172.0181818</v>
      </c>
      <c r="F2" s="49"/>
      <c r="G2" s="81">
        <f>E2-C13</f>
        <v>-14.98181818</v>
      </c>
      <c r="H2" s="49"/>
      <c r="I2" s="60"/>
      <c r="J2" s="60"/>
    </row>
    <row r="3">
      <c r="A3" s="64">
        <v>2.0</v>
      </c>
      <c r="B3" s="64">
        <v>2023.0</v>
      </c>
      <c r="C3" s="80">
        <f>COUNTIFS(mercado_acoes!G:G,"&gt;=01/02/2023",mercado_acoes!G:G,"&lt;=28/02/2023")</f>
        <v>172</v>
      </c>
      <c r="D3" s="49"/>
      <c r="E3" s="68"/>
      <c r="G3" s="68"/>
      <c r="I3" s="60"/>
      <c r="J3" s="60"/>
    </row>
    <row r="4">
      <c r="A4" s="64">
        <v>3.0</v>
      </c>
      <c r="B4" s="64">
        <v>2023.0</v>
      </c>
      <c r="C4" s="80">
        <f>COUNTIFS(mercado_acoes!G:G,"&gt;=01/03/2023",mercado_acoes!G:G,"&lt;=31/03/2023")</f>
        <v>148</v>
      </c>
      <c r="D4" s="49"/>
      <c r="E4" s="68"/>
      <c r="G4" s="68"/>
      <c r="I4" s="60"/>
      <c r="J4" s="60"/>
    </row>
    <row r="5">
      <c r="A5" s="64">
        <v>4.0</v>
      </c>
      <c r="B5" s="64">
        <v>2023.0</v>
      </c>
      <c r="C5" s="80">
        <f>COUNTIFS(mercado_acoes!G:G,"&gt;=01/04/2023",mercado_acoes!G:G,"&lt;=30/04/2023")</f>
        <v>169</v>
      </c>
      <c r="D5" s="49"/>
      <c r="E5" s="68"/>
      <c r="G5" s="68"/>
      <c r="I5" s="60"/>
      <c r="J5" s="60"/>
    </row>
    <row r="6">
      <c r="A6" s="64">
        <v>5.0</v>
      </c>
      <c r="B6" s="64">
        <v>2023.0</v>
      </c>
      <c r="C6" s="80">
        <f>COUNTIFS(mercado_acoes!G:G,"&gt;=01/05/2023",mercado_acoes!G:G,"&lt;=31/05/2023")</f>
        <v>167</v>
      </c>
      <c r="D6" s="49"/>
      <c r="E6" s="68"/>
      <c r="G6" s="68"/>
      <c r="I6" s="60"/>
      <c r="J6" s="60"/>
    </row>
    <row r="7">
      <c r="A7" s="64">
        <v>6.0</v>
      </c>
      <c r="B7" s="64">
        <v>2023.0</v>
      </c>
      <c r="C7" s="80">
        <f>COUNTIFS(mercado_acoes!G:G,"&gt;=01/06/2023",mercado_acoes!G:G,"&lt;=30/06/2023")</f>
        <v>172</v>
      </c>
      <c r="D7" s="49"/>
      <c r="E7" s="68"/>
      <c r="G7" s="68"/>
      <c r="I7" s="60"/>
      <c r="J7" s="60"/>
    </row>
    <row r="8">
      <c r="A8" s="64">
        <v>7.0</v>
      </c>
      <c r="B8" s="64">
        <v>2023.0</v>
      </c>
      <c r="C8" s="80">
        <f>COUNTIFS(mercado_acoes!G:G,"&gt;=01/07/2023",mercado_acoes!G:G,"&lt;=31/07/2023")</f>
        <v>158</v>
      </c>
      <c r="D8" s="49"/>
      <c r="E8" s="68"/>
      <c r="G8" s="68"/>
      <c r="I8" s="60"/>
      <c r="J8" s="60"/>
    </row>
    <row r="9">
      <c r="A9" s="64">
        <v>8.0</v>
      </c>
      <c r="B9" s="64">
        <v>2023.0</v>
      </c>
      <c r="C9" s="80">
        <f>COUNTIFS(mercado_acoes!G:G,"&gt;=01/08/2023",mercado_acoes!G:G,"&lt;=31/08/2023")</f>
        <v>180</v>
      </c>
      <c r="D9" s="49"/>
      <c r="E9" s="68"/>
      <c r="G9" s="68"/>
      <c r="I9" s="60"/>
      <c r="J9" s="60"/>
    </row>
    <row r="10">
      <c r="A10" s="64">
        <v>9.0</v>
      </c>
      <c r="B10" s="64">
        <v>2023.0</v>
      </c>
      <c r="C10" s="80">
        <f>COUNTIFS(mercado_acoes!G:G,"&gt;=01/09/2023",mercado_acoes!G:G,"&lt;=30/09/2023")</f>
        <v>154</v>
      </c>
      <c r="D10" s="49"/>
      <c r="E10" s="68"/>
      <c r="G10" s="68"/>
      <c r="I10" s="60"/>
      <c r="J10" s="60"/>
    </row>
    <row r="11">
      <c r="A11" s="64">
        <v>10.0</v>
      </c>
      <c r="B11" s="64">
        <v>2023.0</v>
      </c>
      <c r="C11" s="80">
        <f>COUNTIFS(mercado_acoes!G:G,"&gt;=01/10/2023",mercado_acoes!G:G,"&lt;=31/10/2023")</f>
        <v>156</v>
      </c>
      <c r="D11" s="49"/>
      <c r="E11" s="68"/>
      <c r="G11" s="68"/>
      <c r="I11" s="60"/>
      <c r="J11" s="60"/>
    </row>
    <row r="12">
      <c r="A12" s="64">
        <v>11.0</v>
      </c>
      <c r="B12" s="64">
        <v>2023.0</v>
      </c>
      <c r="C12" s="80">
        <f>COUNTIFS(mercado_acoes!G:G,"&gt;=01/11/2023",mercado_acoes!G:G,"&lt;=30/11/2023")</f>
        <v>185</v>
      </c>
      <c r="D12" s="49"/>
      <c r="E12" s="68"/>
      <c r="G12" s="68"/>
      <c r="I12" s="60"/>
      <c r="J12" s="60"/>
    </row>
    <row r="13">
      <c r="A13" s="64">
        <v>12.0</v>
      </c>
      <c r="B13" s="64">
        <v>2023.0</v>
      </c>
      <c r="C13" s="80">
        <f>COUNTIFS(mercado_acoes!G:G,"&gt;=01/12/2023",mercado_acoes!G:G,"&lt;=31/12/2023")</f>
        <v>187</v>
      </c>
      <c r="D13" s="49"/>
      <c r="E13" s="68"/>
      <c r="G13" s="68"/>
      <c r="I13" s="60"/>
      <c r="J13" s="60"/>
    </row>
    <row r="14">
      <c r="A14" s="60"/>
      <c r="B14" s="60"/>
      <c r="C14" s="60"/>
      <c r="E14" s="60"/>
      <c r="F14" s="60"/>
      <c r="G14" s="60"/>
      <c r="H14" s="60"/>
      <c r="I14" s="60"/>
      <c r="J14" s="60"/>
    </row>
    <row r="15">
      <c r="A15" s="60"/>
      <c r="B15" s="60"/>
      <c r="C15" s="60"/>
      <c r="E15" s="60"/>
      <c r="F15" s="60"/>
      <c r="G15" s="60"/>
      <c r="H15" s="60"/>
      <c r="I15" s="60"/>
      <c r="J15" s="60"/>
    </row>
    <row r="16">
      <c r="A16" s="60"/>
      <c r="B16" s="60"/>
      <c r="C16" s="60"/>
      <c r="E16" s="60"/>
      <c r="F16" s="60"/>
      <c r="G16" s="60"/>
      <c r="H16" s="60"/>
      <c r="I16" s="60"/>
      <c r="J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</row>
  </sheetData>
  <mergeCells count="42">
    <mergeCell ref="E12:F12"/>
    <mergeCell ref="G12:H12"/>
    <mergeCell ref="C10:D10"/>
    <mergeCell ref="E10:F10"/>
    <mergeCell ref="G10:H10"/>
    <mergeCell ref="C11:D11"/>
    <mergeCell ref="E11:F11"/>
    <mergeCell ref="G11:H11"/>
    <mergeCell ref="C12:D12"/>
    <mergeCell ref="E3:F3"/>
    <mergeCell ref="G3:H3"/>
    <mergeCell ref="C1:D1"/>
    <mergeCell ref="E1:F1"/>
    <mergeCell ref="G1:H1"/>
    <mergeCell ref="C2:D2"/>
    <mergeCell ref="E2:F2"/>
    <mergeCell ref="G2:H2"/>
    <mergeCell ref="C3:D3"/>
    <mergeCell ref="E6:F6"/>
    <mergeCell ref="G6:H6"/>
    <mergeCell ref="C4:D4"/>
    <mergeCell ref="E4:F4"/>
    <mergeCell ref="G4:H4"/>
    <mergeCell ref="C5:D5"/>
    <mergeCell ref="E5:F5"/>
    <mergeCell ref="G5:H5"/>
    <mergeCell ref="C6:D6"/>
    <mergeCell ref="E9:F9"/>
    <mergeCell ref="G9:H9"/>
    <mergeCell ref="C7:D7"/>
    <mergeCell ref="E7:F7"/>
    <mergeCell ref="G7:H7"/>
    <mergeCell ref="C8:D8"/>
    <mergeCell ref="E8:F8"/>
    <mergeCell ref="G8:H8"/>
    <mergeCell ref="C9:D9"/>
    <mergeCell ref="C13:D13"/>
    <mergeCell ref="E13:F13"/>
    <mergeCell ref="G13:H13"/>
    <mergeCell ref="C14:D14"/>
    <mergeCell ref="C15:D15"/>
    <mergeCell ref="C16:D16"/>
  </mergeCells>
  <drawing r:id="rId1"/>
</worksheet>
</file>